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3" codeName="{2415A153-8570-D804-BEE2-DBEC5437C89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mycreznic/Desktop/TSC_VBA_Financial_Modeling_Project_StartFiles/"/>
    </mc:Choice>
  </mc:AlternateContent>
  <xr:revisionPtr revIDLastSave="0" documentId="13_ncr:1_{2348C52B-5854-DB4B-BEE1-1BB2DB2038E3}" xr6:coauthVersionLast="45" xr6:coauthVersionMax="45" xr10:uidLastSave="{00000000-0000-0000-0000-000000000000}"/>
  <bookViews>
    <workbookView showSheetTabs="0" xWindow="23860" yWindow="1080" windowWidth="25640" windowHeight="25360" activeTab="1" xr2:uid="{00000000-000D-0000-FFFF-FFFF00000000}"/>
  </bookViews>
  <sheets>
    <sheet name="About" sheetId="6" r:id="rId1"/>
    <sheet name="Inputs" sheetId="10" r:id="rId2"/>
    <sheet name="Model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8" i="1" l="1"/>
  <c r="E89" i="1"/>
  <c r="E90" i="1"/>
  <c r="E91" i="1"/>
  <c r="E92" i="1"/>
  <c r="E93" i="1"/>
  <c r="E94" i="1"/>
  <c r="E95" i="1"/>
  <c r="E96" i="1"/>
  <c r="E97" i="1"/>
  <c r="F88" i="1"/>
  <c r="F89" i="1"/>
  <c r="F90" i="1"/>
  <c r="F91" i="1"/>
  <c r="F92" i="1"/>
  <c r="F93" i="1"/>
  <c r="F94" i="1"/>
  <c r="F95" i="1"/>
  <c r="F96" i="1"/>
  <c r="F97" i="1"/>
  <c r="F87" i="1"/>
  <c r="E87" i="1"/>
  <c r="N39" i="1" l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J39" i="1" s="1"/>
  <c r="AK39" i="1" s="1"/>
  <c r="AL39" i="1" s="1"/>
  <c r="AM39" i="1" s="1"/>
  <c r="AN39" i="1" s="1"/>
  <c r="AO39" i="1" s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N38" i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AK38" i="1" s="1"/>
  <c r="AL38" i="1" s="1"/>
  <c r="AM38" i="1" s="1"/>
  <c r="AN38" i="1" s="1"/>
  <c r="AO38" i="1" s="1"/>
  <c r="AP38" i="1" s="1"/>
  <c r="AQ38" i="1" s="1"/>
  <c r="AR38" i="1" s="1"/>
  <c r="AS38" i="1" s="1"/>
  <c r="AT38" i="1" s="1"/>
  <c r="AU38" i="1" s="1"/>
  <c r="AV38" i="1" s="1"/>
  <c r="AW38" i="1" s="1"/>
  <c r="AX38" i="1" s="1"/>
  <c r="AY38" i="1" s="1"/>
  <c r="L22" i="1"/>
  <c r="K22" i="1"/>
  <c r="J22" i="1"/>
  <c r="I22" i="1"/>
  <c r="H22" i="1"/>
  <c r="O37" i="1"/>
  <c r="P37" i="1" s="1"/>
  <c r="N37" i="1"/>
  <c r="N35" i="1"/>
  <c r="O35" i="1" s="1"/>
  <c r="P35" i="1" s="1"/>
  <c r="N34" i="1"/>
  <c r="L37" i="1"/>
  <c r="K37" i="1"/>
  <c r="I37" i="1"/>
  <c r="H37" i="1"/>
  <c r="L35" i="1"/>
  <c r="L34" i="1"/>
  <c r="K34" i="1"/>
  <c r="I34" i="1"/>
  <c r="O31" i="1"/>
  <c r="P31" i="1" s="1"/>
  <c r="Q31" i="1" s="1"/>
  <c r="R31" i="1" s="1"/>
  <c r="S31" i="1" s="1"/>
  <c r="T31" i="1" s="1"/>
  <c r="U31" i="1" s="1"/>
  <c r="V31" i="1" s="1"/>
  <c r="W31" i="1" s="1"/>
  <c r="X31" i="1" s="1"/>
  <c r="Y31" i="1" s="1"/>
  <c r="Z31" i="1" s="1"/>
  <c r="AA31" i="1" s="1"/>
  <c r="AB31" i="1" s="1"/>
  <c r="AC31" i="1" s="1"/>
  <c r="AD31" i="1" s="1"/>
  <c r="AE31" i="1" s="1"/>
  <c r="AF31" i="1" s="1"/>
  <c r="AG31" i="1" s="1"/>
  <c r="AH31" i="1" s="1"/>
  <c r="AI31" i="1" s="1"/>
  <c r="AJ31" i="1" s="1"/>
  <c r="AK31" i="1" s="1"/>
  <c r="AL31" i="1" s="1"/>
  <c r="AM31" i="1" s="1"/>
  <c r="AN31" i="1" s="1"/>
  <c r="AO31" i="1" s="1"/>
  <c r="AP31" i="1" s="1"/>
  <c r="AQ31" i="1" s="1"/>
  <c r="AR31" i="1" s="1"/>
  <c r="AS31" i="1" s="1"/>
  <c r="AT31" i="1" s="1"/>
  <c r="AU31" i="1" s="1"/>
  <c r="AV31" i="1" s="1"/>
  <c r="AW31" i="1" s="1"/>
  <c r="AX31" i="1" s="1"/>
  <c r="AY31" i="1" s="1"/>
  <c r="M6" i="1"/>
  <c r="M8" i="1" s="1"/>
  <c r="J37" i="1"/>
  <c r="K35" i="1"/>
  <c r="J35" i="1"/>
  <c r="I35" i="1"/>
  <c r="H35" i="1"/>
  <c r="J34" i="1"/>
  <c r="H34" i="1"/>
  <c r="L31" i="1"/>
  <c r="K31" i="1"/>
  <c r="J31" i="1"/>
  <c r="I31" i="1"/>
  <c r="L15" i="1"/>
  <c r="M15" i="1" s="1"/>
  <c r="N15" i="1" s="1"/>
  <c r="O15" i="1" s="1"/>
  <c r="P15" i="1" s="1"/>
  <c r="Q15" i="1" s="1"/>
  <c r="R15" i="1" s="1"/>
  <c r="S15" i="1" s="1"/>
  <c r="T15" i="1" s="1"/>
  <c r="U15" i="1" s="1"/>
  <c r="V15" i="1" s="1"/>
  <c r="W15" i="1" s="1"/>
  <c r="X15" i="1" s="1"/>
  <c r="Y15" i="1" s="1"/>
  <c r="Z15" i="1" s="1"/>
  <c r="AA15" i="1" s="1"/>
  <c r="AB15" i="1" s="1"/>
  <c r="AC15" i="1" s="1"/>
  <c r="AD15" i="1" s="1"/>
  <c r="AE15" i="1" s="1"/>
  <c r="AF15" i="1" s="1"/>
  <c r="AG15" i="1" s="1"/>
  <c r="AH15" i="1" s="1"/>
  <c r="AI15" i="1" s="1"/>
  <c r="AJ15" i="1" s="1"/>
  <c r="AK15" i="1" s="1"/>
  <c r="AL15" i="1" s="1"/>
  <c r="AM15" i="1" s="1"/>
  <c r="AN15" i="1" s="1"/>
  <c r="AO15" i="1" s="1"/>
  <c r="AP15" i="1" s="1"/>
  <c r="AQ15" i="1" s="1"/>
  <c r="AR15" i="1" s="1"/>
  <c r="AS15" i="1" s="1"/>
  <c r="AT15" i="1" s="1"/>
  <c r="AU15" i="1" s="1"/>
  <c r="AV15" i="1" s="1"/>
  <c r="AW15" i="1" s="1"/>
  <c r="AX15" i="1" s="1"/>
  <c r="AY15" i="1" s="1"/>
  <c r="K15" i="1"/>
  <c r="K36" i="1" s="1"/>
  <c r="J15" i="1"/>
  <c r="J36" i="1" s="1"/>
  <c r="I15" i="1"/>
  <c r="I36" i="1" s="1"/>
  <c r="H15" i="1"/>
  <c r="H36" i="1" s="1"/>
  <c r="L12" i="1"/>
  <c r="M12" i="1" s="1"/>
  <c r="N12" i="1" s="1"/>
  <c r="O12" i="1" s="1"/>
  <c r="P12" i="1" s="1"/>
  <c r="Q12" i="1" s="1"/>
  <c r="K12" i="1"/>
  <c r="K33" i="1" s="1"/>
  <c r="J12" i="1"/>
  <c r="J33" i="1" s="1"/>
  <c r="I12" i="1"/>
  <c r="I33" i="1" s="1"/>
  <c r="H12" i="1"/>
  <c r="H33" i="1" s="1"/>
  <c r="L11" i="1"/>
  <c r="M11" i="1" s="1"/>
  <c r="K11" i="1"/>
  <c r="K32" i="1" s="1"/>
  <c r="J11" i="1"/>
  <c r="J32" i="1" s="1"/>
  <c r="I11" i="1"/>
  <c r="I32" i="1" s="1"/>
  <c r="H11" i="1"/>
  <c r="H32" i="1" s="1"/>
  <c r="L8" i="1"/>
  <c r="K8" i="1"/>
  <c r="J8" i="1"/>
  <c r="I8" i="1"/>
  <c r="H8" i="1"/>
  <c r="I1" i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N6" i="1" l="1"/>
  <c r="N22" i="1" s="1"/>
  <c r="J18" i="1"/>
  <c r="J20" i="1" s="1"/>
  <c r="J38" i="1" s="1"/>
  <c r="L33" i="1"/>
  <c r="M14" i="1"/>
  <c r="M22" i="1"/>
  <c r="N11" i="1"/>
  <c r="Q35" i="1"/>
  <c r="R35" i="1" s="1"/>
  <c r="L32" i="1"/>
  <c r="N13" i="1"/>
  <c r="N14" i="1"/>
  <c r="L36" i="1"/>
  <c r="M16" i="1"/>
  <c r="M13" i="1"/>
  <c r="O34" i="1"/>
  <c r="P34" i="1" s="1"/>
  <c r="O6" i="1"/>
  <c r="O22" i="1" s="1"/>
  <c r="N8" i="1"/>
  <c r="Q37" i="1"/>
  <c r="I18" i="1"/>
  <c r="I20" i="1" s="1"/>
  <c r="I38" i="1" s="1"/>
  <c r="K18" i="1"/>
  <c r="K20" i="1" s="1"/>
  <c r="L18" i="1"/>
  <c r="L20" i="1" s="1"/>
  <c r="H18" i="1"/>
  <c r="H20" i="1" s="1"/>
  <c r="H38" i="1" s="1"/>
  <c r="L3" i="1"/>
  <c r="K3" i="1" s="1"/>
  <c r="J3" i="1" s="1"/>
  <c r="I3" i="1" s="1"/>
  <c r="H3" i="1" s="1"/>
  <c r="N3" i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  <c r="AI3" i="1" s="1"/>
  <c r="AJ3" i="1" s="1"/>
  <c r="AK3" i="1" s="1"/>
  <c r="AL3" i="1" s="1"/>
  <c r="AM3" i="1" s="1"/>
  <c r="AN3" i="1" s="1"/>
  <c r="N16" i="1" l="1"/>
  <c r="N18" i="1" s="1"/>
  <c r="N20" i="1" s="1"/>
  <c r="N24" i="1" s="1"/>
  <c r="J24" i="1"/>
  <c r="P6" i="1"/>
  <c r="P22" i="1" s="1"/>
  <c r="M18" i="1"/>
  <c r="M20" i="1" s="1"/>
  <c r="M24" i="1" s="1"/>
  <c r="O13" i="1"/>
  <c r="O8" i="1"/>
  <c r="O16" i="1"/>
  <c r="O14" i="1"/>
  <c r="O11" i="1"/>
  <c r="R37" i="1"/>
  <c r="Q34" i="1"/>
  <c r="S35" i="1"/>
  <c r="K24" i="1"/>
  <c r="K38" i="1"/>
  <c r="I24" i="1"/>
  <c r="AO3" i="1"/>
  <c r="AP3" i="1" s="1"/>
  <c r="AQ3" i="1" s="1"/>
  <c r="AR3" i="1" s="1"/>
  <c r="AS3" i="1" s="1"/>
  <c r="AT3" i="1" s="1"/>
  <c r="AU3" i="1" s="1"/>
  <c r="AV3" i="1" s="1"/>
  <c r="AW3" i="1" s="1"/>
  <c r="AX3" i="1" s="1"/>
  <c r="AY3" i="1" s="1"/>
  <c r="P8" i="1" l="1"/>
  <c r="P13" i="1"/>
  <c r="P14" i="1"/>
  <c r="Q6" i="1"/>
  <c r="Q16" i="1" s="1"/>
  <c r="P16" i="1"/>
  <c r="P11" i="1"/>
  <c r="O18" i="1"/>
  <c r="O20" i="1" s="1"/>
  <c r="O24" i="1" s="1"/>
  <c r="Q13" i="1"/>
  <c r="R34" i="1"/>
  <c r="T35" i="1"/>
  <c r="S37" i="1"/>
  <c r="H24" i="1"/>
  <c r="H26" i="1" s="1"/>
  <c r="I26" i="1" s="1"/>
  <c r="J26" i="1" s="1"/>
  <c r="K26" i="1" s="1"/>
  <c r="L24" i="1"/>
  <c r="L38" i="1"/>
  <c r="Q22" i="1" l="1"/>
  <c r="Q8" i="1"/>
  <c r="R6" i="1"/>
  <c r="R16" i="1" s="1"/>
  <c r="Q14" i="1"/>
  <c r="Q11" i="1"/>
  <c r="P18" i="1"/>
  <c r="P20" i="1" s="1"/>
  <c r="P24" i="1" s="1"/>
  <c r="S34" i="1"/>
  <c r="T37" i="1"/>
  <c r="U35" i="1"/>
  <c r="L26" i="1"/>
  <c r="M26" i="1" s="1"/>
  <c r="N26" i="1" s="1"/>
  <c r="O26" i="1" s="1"/>
  <c r="S6" i="1"/>
  <c r="S16" i="1" s="1"/>
  <c r="R14" i="1" l="1"/>
  <c r="P26" i="1"/>
  <c r="R22" i="1"/>
  <c r="R8" i="1"/>
  <c r="R13" i="1"/>
  <c r="R11" i="1"/>
  <c r="Q18" i="1"/>
  <c r="Q20" i="1" s="1"/>
  <c r="Q24" i="1" s="1"/>
  <c r="S22" i="1"/>
  <c r="S14" i="1"/>
  <c r="T34" i="1"/>
  <c r="S13" i="1"/>
  <c r="V35" i="1"/>
  <c r="U37" i="1"/>
  <c r="S8" i="1"/>
  <c r="T6" i="1"/>
  <c r="T16" i="1" s="1"/>
  <c r="Q26" i="1" l="1"/>
  <c r="T22" i="1"/>
  <c r="T14" i="1"/>
  <c r="S11" i="1"/>
  <c r="R18" i="1"/>
  <c r="R20" i="1" s="1"/>
  <c r="R24" i="1" s="1"/>
  <c r="R26" i="1" s="1"/>
  <c r="V37" i="1"/>
  <c r="W35" i="1"/>
  <c r="U34" i="1"/>
  <c r="T13" i="1"/>
  <c r="T8" i="1"/>
  <c r="U6" i="1"/>
  <c r="U16" i="1" s="1"/>
  <c r="U22" i="1" l="1"/>
  <c r="U14" i="1"/>
  <c r="T11" i="1"/>
  <c r="S18" i="1"/>
  <c r="S20" i="1" s="1"/>
  <c r="S24" i="1" s="1"/>
  <c r="S26" i="1" s="1"/>
  <c r="U13" i="1"/>
  <c r="V34" i="1"/>
  <c r="W37" i="1"/>
  <c r="X35" i="1"/>
  <c r="V6" i="1"/>
  <c r="V16" i="1" s="1"/>
  <c r="U8" i="1"/>
  <c r="U11" i="1" l="1"/>
  <c r="T18" i="1"/>
  <c r="T20" i="1" s="1"/>
  <c r="T24" i="1" s="1"/>
  <c r="T26" i="1" s="1"/>
  <c r="V22" i="1"/>
  <c r="V14" i="1"/>
  <c r="Y35" i="1"/>
  <c r="X37" i="1"/>
  <c r="W34" i="1"/>
  <c r="V13" i="1"/>
  <c r="V8" i="1"/>
  <c r="W6" i="1"/>
  <c r="W22" i="1" l="1"/>
  <c r="W14" i="1"/>
  <c r="W16" i="1"/>
  <c r="V11" i="1"/>
  <c r="U18" i="1"/>
  <c r="U20" i="1" s="1"/>
  <c r="U24" i="1" s="1"/>
  <c r="U26" i="1" s="1"/>
  <c r="W13" i="1"/>
  <c r="X34" i="1"/>
  <c r="Y37" i="1"/>
  <c r="Z35" i="1"/>
  <c r="W8" i="1"/>
  <c r="X6" i="1"/>
  <c r="X16" i="1" s="1"/>
  <c r="X22" i="1" l="1"/>
  <c r="X14" i="1"/>
  <c r="W11" i="1"/>
  <c r="V18" i="1"/>
  <c r="V20" i="1" s="1"/>
  <c r="V24" i="1" s="1"/>
  <c r="V26" i="1" s="1"/>
  <c r="AA35" i="1"/>
  <c r="Z37" i="1"/>
  <c r="X13" i="1"/>
  <c r="Y34" i="1"/>
  <c r="Y6" i="1"/>
  <c r="X8" i="1"/>
  <c r="Y22" i="1" l="1"/>
  <c r="Y14" i="1"/>
  <c r="X11" i="1"/>
  <c r="W18" i="1"/>
  <c r="W20" i="1" s="1"/>
  <c r="W24" i="1" s="1"/>
  <c r="W26" i="1" s="1"/>
  <c r="Y16" i="1"/>
  <c r="AB35" i="1"/>
  <c r="Y13" i="1"/>
  <c r="Z34" i="1"/>
  <c r="AA37" i="1"/>
  <c r="Z6" i="1"/>
  <c r="Y8" i="1"/>
  <c r="Z22" i="1" l="1"/>
  <c r="Z14" i="1"/>
  <c r="Z16" i="1"/>
  <c r="Y11" i="1"/>
  <c r="X18" i="1"/>
  <c r="X20" i="1" s="1"/>
  <c r="X24" i="1" s="1"/>
  <c r="X26" i="1" s="1"/>
  <c r="AB37" i="1"/>
  <c r="AA34" i="1"/>
  <c r="Z13" i="1"/>
  <c r="AC35" i="1"/>
  <c r="AA6" i="1"/>
  <c r="Z8" i="1"/>
  <c r="AA22" i="1" l="1"/>
  <c r="AA14" i="1"/>
  <c r="Z11" i="1"/>
  <c r="Y18" i="1"/>
  <c r="Y20" i="1" s="1"/>
  <c r="Y24" i="1" s="1"/>
  <c r="Y26" i="1" s="1"/>
  <c r="AA16" i="1"/>
  <c r="AB34" i="1"/>
  <c r="AA13" i="1"/>
  <c r="AD35" i="1"/>
  <c r="AC37" i="1"/>
  <c r="AA8" i="1"/>
  <c r="AB6" i="1"/>
  <c r="AB22" i="1" l="1"/>
  <c r="AB14" i="1"/>
  <c r="AB16" i="1"/>
  <c r="AA11" i="1"/>
  <c r="Z18" i="1"/>
  <c r="Z20" i="1" s="1"/>
  <c r="Z24" i="1" s="1"/>
  <c r="Z26" i="1" s="1"/>
  <c r="AD37" i="1"/>
  <c r="AE35" i="1"/>
  <c r="AC34" i="1"/>
  <c r="AB13" i="1"/>
  <c r="AB8" i="1"/>
  <c r="AC6" i="1"/>
  <c r="AC16" i="1" s="1"/>
  <c r="AC22" i="1" l="1"/>
  <c r="AC14" i="1"/>
  <c r="AB11" i="1"/>
  <c r="AA18" i="1"/>
  <c r="AA20" i="1" s="1"/>
  <c r="AA24" i="1" s="1"/>
  <c r="AA26" i="1" s="1"/>
  <c r="AF35" i="1"/>
  <c r="AC13" i="1"/>
  <c r="AD34" i="1"/>
  <c r="AE37" i="1"/>
  <c r="AD6" i="1"/>
  <c r="AC8" i="1"/>
  <c r="AD22" i="1" l="1"/>
  <c r="AD14" i="1"/>
  <c r="AB18" i="1"/>
  <c r="AB20" i="1" s="1"/>
  <c r="AB24" i="1" s="1"/>
  <c r="AB26" i="1" s="1"/>
  <c r="AC11" i="1"/>
  <c r="AD16" i="1"/>
  <c r="AF37" i="1"/>
  <c r="AG35" i="1"/>
  <c r="AD13" i="1"/>
  <c r="AE34" i="1"/>
  <c r="AD8" i="1"/>
  <c r="AE6" i="1"/>
  <c r="AE16" i="1" s="1"/>
  <c r="AD11" i="1" l="1"/>
  <c r="AC18" i="1"/>
  <c r="AC20" i="1" s="1"/>
  <c r="AC24" i="1" s="1"/>
  <c r="AC26" i="1" s="1"/>
  <c r="AE22" i="1"/>
  <c r="AE14" i="1"/>
  <c r="AE13" i="1"/>
  <c r="AF34" i="1"/>
  <c r="AH35" i="1"/>
  <c r="AG37" i="1"/>
  <c r="AF6" i="1"/>
  <c r="AE8" i="1"/>
  <c r="AF22" i="1" l="1"/>
  <c r="AF14" i="1"/>
  <c r="AE11" i="1"/>
  <c r="AD18" i="1"/>
  <c r="AD20" i="1" s="1"/>
  <c r="AD24" i="1" s="1"/>
  <c r="AD26" i="1" s="1"/>
  <c r="AF16" i="1"/>
  <c r="AH37" i="1"/>
  <c r="AI35" i="1"/>
  <c r="AF13" i="1"/>
  <c r="AG34" i="1"/>
  <c r="AG6" i="1"/>
  <c r="AF8" i="1"/>
  <c r="AG22" i="1" l="1"/>
  <c r="AG14" i="1"/>
  <c r="AF11" i="1"/>
  <c r="AE18" i="1"/>
  <c r="AE20" i="1" s="1"/>
  <c r="AE24" i="1" s="1"/>
  <c r="AE26" i="1" s="1"/>
  <c r="AG16" i="1"/>
  <c r="AH34" i="1"/>
  <c r="AG13" i="1"/>
  <c r="AI37" i="1"/>
  <c r="AJ35" i="1"/>
  <c r="AH6" i="1"/>
  <c r="AH16" i="1" s="1"/>
  <c r="AG8" i="1"/>
  <c r="AH22" i="1" l="1"/>
  <c r="AH14" i="1"/>
  <c r="AG11" i="1"/>
  <c r="AF18" i="1"/>
  <c r="AF20" i="1" s="1"/>
  <c r="AF24" i="1" s="1"/>
  <c r="AF26" i="1" s="1"/>
  <c r="AI34" i="1"/>
  <c r="AH13" i="1"/>
  <c r="AK35" i="1"/>
  <c r="AJ37" i="1"/>
  <c r="AI6" i="1"/>
  <c r="AI16" i="1" s="1"/>
  <c r="AH8" i="1"/>
  <c r="AH11" i="1" l="1"/>
  <c r="AG18" i="1"/>
  <c r="AG20" i="1" s="1"/>
  <c r="AG24" i="1" s="1"/>
  <c r="AG26" i="1" s="1"/>
  <c r="AI22" i="1"/>
  <c r="AI14" i="1"/>
  <c r="AK37" i="1"/>
  <c r="AL35" i="1"/>
  <c r="AJ34" i="1"/>
  <c r="AI13" i="1"/>
  <c r="AI8" i="1"/>
  <c r="AJ6" i="1"/>
  <c r="AJ16" i="1" s="1"/>
  <c r="AJ22" i="1" l="1"/>
  <c r="AJ14" i="1"/>
  <c r="AI11" i="1"/>
  <c r="AH18" i="1"/>
  <c r="AH20" i="1" s="1"/>
  <c r="AH24" i="1" s="1"/>
  <c r="AH26" i="1" s="1"/>
  <c r="AK34" i="1"/>
  <c r="AJ13" i="1"/>
  <c r="AM35" i="1"/>
  <c r="AL37" i="1"/>
  <c r="AJ8" i="1"/>
  <c r="AK6" i="1"/>
  <c r="AK22" i="1" l="1"/>
  <c r="AK14" i="1"/>
  <c r="AJ11" i="1"/>
  <c r="AI18" i="1"/>
  <c r="AI20" i="1" s="1"/>
  <c r="AI24" i="1" s="1"/>
  <c r="AI26" i="1" s="1"/>
  <c r="AK16" i="1"/>
  <c r="AM37" i="1"/>
  <c r="AN35" i="1"/>
  <c r="AK13" i="1"/>
  <c r="AL34" i="1"/>
  <c r="AL6" i="1"/>
  <c r="AK8" i="1"/>
  <c r="AL22" i="1" l="1"/>
  <c r="AL14" i="1"/>
  <c r="AK11" i="1"/>
  <c r="AK18" i="1" s="1"/>
  <c r="AK20" i="1" s="1"/>
  <c r="AK24" i="1" s="1"/>
  <c r="AJ18" i="1"/>
  <c r="AJ20" i="1" s="1"/>
  <c r="AJ24" i="1" s="1"/>
  <c r="AJ26" i="1" s="1"/>
  <c r="AL16" i="1"/>
  <c r="AL13" i="1"/>
  <c r="AM34" i="1"/>
  <c r="AO35" i="1"/>
  <c r="AN37" i="1"/>
  <c r="AM6" i="1"/>
  <c r="AM16" i="1" s="1"/>
  <c r="AL8" i="1"/>
  <c r="AL18" i="1" l="1"/>
  <c r="AK26" i="1"/>
  <c r="AL20" i="1"/>
  <c r="AL24" i="1" s="1"/>
  <c r="AM22" i="1"/>
  <c r="AM14" i="1"/>
  <c r="AO37" i="1"/>
  <c r="AP35" i="1"/>
  <c r="AM13" i="1"/>
  <c r="AN34" i="1"/>
  <c r="AN6" i="1"/>
  <c r="AN16" i="1" s="1"/>
  <c r="AM8" i="1"/>
  <c r="AN22" i="1" l="1"/>
  <c r="AN14" i="1"/>
  <c r="AM18" i="1"/>
  <c r="AM20" i="1" s="1"/>
  <c r="AM24" i="1" s="1"/>
  <c r="AL26" i="1"/>
  <c r="AN13" i="1"/>
  <c r="AO34" i="1"/>
  <c r="AQ35" i="1"/>
  <c r="AP37" i="1"/>
  <c r="AO6" i="1"/>
  <c r="AN8" i="1"/>
  <c r="AN18" i="1" l="1"/>
  <c r="AN20" i="1" s="1"/>
  <c r="AN24" i="1" s="1"/>
  <c r="AO22" i="1"/>
  <c r="AO14" i="1"/>
  <c r="AO16" i="1"/>
  <c r="AM26" i="1"/>
  <c r="AQ37" i="1"/>
  <c r="AR35" i="1"/>
  <c r="AO13" i="1"/>
  <c r="AP34" i="1"/>
  <c r="AP6" i="1"/>
  <c r="AP16" i="1" s="1"/>
  <c r="AO8" i="1"/>
  <c r="AO18" i="1" l="1"/>
  <c r="AO20" i="1" s="1"/>
  <c r="AO24" i="1" s="1"/>
  <c r="AN26" i="1"/>
  <c r="AP22" i="1"/>
  <c r="AP14" i="1"/>
  <c r="AQ34" i="1"/>
  <c r="AP13" i="1"/>
  <c r="AS35" i="1"/>
  <c r="AR37" i="1"/>
  <c r="AQ6" i="1"/>
  <c r="AQ16" i="1" s="1"/>
  <c r="AP8" i="1"/>
  <c r="AP18" i="1" l="1"/>
  <c r="AP20" i="1" s="1"/>
  <c r="AP24" i="1" s="1"/>
  <c r="AO26" i="1"/>
  <c r="AQ22" i="1"/>
  <c r="AQ14" i="1"/>
  <c r="AT35" i="1"/>
  <c r="AS37" i="1"/>
  <c r="AQ13" i="1"/>
  <c r="AR34" i="1"/>
  <c r="AQ8" i="1"/>
  <c r="AR6" i="1"/>
  <c r="AR16" i="1" s="1"/>
  <c r="AP26" i="1" l="1"/>
  <c r="AR22" i="1"/>
  <c r="AR14" i="1"/>
  <c r="AQ18" i="1"/>
  <c r="AQ20" i="1" s="1"/>
  <c r="AQ24" i="1" s="1"/>
  <c r="AQ26" i="1" s="1"/>
  <c r="AS34" i="1"/>
  <c r="AR13" i="1"/>
  <c r="AT37" i="1"/>
  <c r="AU35" i="1"/>
  <c r="AR8" i="1"/>
  <c r="AS6" i="1"/>
  <c r="AS16" i="1" s="1"/>
  <c r="AR18" i="1" l="1"/>
  <c r="AR20" i="1" s="1"/>
  <c r="AR24" i="1" s="1"/>
  <c r="AR26" i="1" s="1"/>
  <c r="AS22" i="1"/>
  <c r="AS14" i="1"/>
  <c r="AV35" i="1"/>
  <c r="AU37" i="1"/>
  <c r="AS13" i="1"/>
  <c r="AT34" i="1"/>
  <c r="AT6" i="1"/>
  <c r="AS8" i="1"/>
  <c r="AT22" i="1" l="1"/>
  <c r="AT14" i="1"/>
  <c r="AS18" i="1"/>
  <c r="AS20" i="1" s="1"/>
  <c r="AS24" i="1" s="1"/>
  <c r="AS26" i="1" s="1"/>
  <c r="AT16" i="1"/>
  <c r="AT13" i="1"/>
  <c r="AU34" i="1"/>
  <c r="AV37" i="1"/>
  <c r="AW35" i="1"/>
  <c r="AU6" i="1"/>
  <c r="AT8" i="1"/>
  <c r="AT18" i="1" l="1"/>
  <c r="AU22" i="1"/>
  <c r="AU14" i="1"/>
  <c r="AU16" i="1"/>
  <c r="AT20" i="1"/>
  <c r="AT24" i="1"/>
  <c r="AT26" i="1" s="1"/>
  <c r="AX35" i="1"/>
  <c r="AW37" i="1"/>
  <c r="AU13" i="1"/>
  <c r="AV34" i="1"/>
  <c r="AU8" i="1"/>
  <c r="AV6" i="1"/>
  <c r="AU18" i="1" l="1"/>
  <c r="AU20" i="1" s="1"/>
  <c r="AU24" i="1" s="1"/>
  <c r="AU26" i="1" s="1"/>
  <c r="AV22" i="1"/>
  <c r="AV14" i="1"/>
  <c r="AV16" i="1"/>
  <c r="AV13" i="1"/>
  <c r="AW34" i="1"/>
  <c r="AX37" i="1"/>
  <c r="AY35" i="1"/>
  <c r="AW6" i="1"/>
  <c r="AV8" i="1"/>
  <c r="AV18" i="1" l="1"/>
  <c r="AV20" i="1" s="1"/>
  <c r="AV24" i="1" s="1"/>
  <c r="AV26" i="1" s="1"/>
  <c r="AW22" i="1"/>
  <c r="AW14" i="1"/>
  <c r="AW16" i="1"/>
  <c r="AY37" i="1"/>
  <c r="AW13" i="1"/>
  <c r="AX34" i="1"/>
  <c r="AX6" i="1"/>
  <c r="AW8" i="1"/>
  <c r="AX22" i="1" l="1"/>
  <c r="AX14" i="1"/>
  <c r="AW18" i="1"/>
  <c r="AW20" i="1" s="1"/>
  <c r="AW24" i="1" s="1"/>
  <c r="AW26" i="1" s="1"/>
  <c r="AX16" i="1"/>
  <c r="AY34" i="1"/>
  <c r="AX13" i="1"/>
  <c r="AY6" i="1"/>
  <c r="AX8" i="1"/>
  <c r="AY8" i="1" l="1"/>
  <c r="AY22" i="1"/>
  <c r="AY14" i="1"/>
  <c r="AY16" i="1"/>
  <c r="AX18" i="1"/>
  <c r="AX20" i="1" s="1"/>
  <c r="AX24" i="1" s="1"/>
  <c r="AX26" i="1" s="1"/>
  <c r="AY13" i="1"/>
  <c r="AY18" i="1" l="1"/>
  <c r="AY20" i="1" s="1"/>
  <c r="AY24" i="1" s="1"/>
  <c r="AY26" i="1" s="1"/>
</calcChain>
</file>

<file path=xl/sharedStrings.xml><?xml version="1.0" encoding="utf-8"?>
<sst xmlns="http://schemas.openxmlformats.org/spreadsheetml/2006/main" count="45" uniqueCount="38">
  <si>
    <t>Income Taxes</t>
  </si>
  <si>
    <t>Historical</t>
  </si>
  <si>
    <t>Projected</t>
  </si>
  <si>
    <t>Net Income</t>
  </si>
  <si>
    <t>Technical Skills Course</t>
  </si>
  <si>
    <t>Mortgage</t>
  </si>
  <si>
    <t>Other Expenses</t>
  </si>
  <si>
    <t>Revenue</t>
  </si>
  <si>
    <t>Total Revenue</t>
  </si>
  <si>
    <t>Expenses</t>
  </si>
  <si>
    <t>Total Expenses</t>
  </si>
  <si>
    <t>Pretax Operating Income</t>
  </si>
  <si>
    <t>Ratios &amp; Assumptions:</t>
  </si>
  <si>
    <t>Salary (Sarah)</t>
  </si>
  <si>
    <t>Student Loan Debt - Sarah</t>
  </si>
  <si>
    <t>Sarah's Age -&gt;</t>
  </si>
  <si>
    <t>Insurance</t>
  </si>
  <si>
    <t>Living Expenses</t>
  </si>
  <si>
    <t>Savings for Retirement</t>
  </si>
  <si>
    <t>Salary Growth</t>
  </si>
  <si>
    <t>Student Loan Debt as % of Annual Salary</t>
  </si>
  <si>
    <t>Mortgage as % of Annual Salary</t>
  </si>
  <si>
    <t>Insurance Costs as % of Annual Salary</t>
  </si>
  <si>
    <t>Living Expenses as a % of Annual Salary</t>
  </si>
  <si>
    <t>Savings for Retirement as a % of Annual Salary</t>
  </si>
  <si>
    <t>Other Expenses as a % of Annual Salary</t>
  </si>
  <si>
    <t>Interest of Savings Account</t>
  </si>
  <si>
    <t>Income Tax Rate as a % of Annual Salary</t>
  </si>
  <si>
    <t>Personal Savings Account</t>
  </si>
  <si>
    <t xml:space="preserve">Use Constant Yearly Dollar Amount </t>
  </si>
  <si>
    <t>Module: Excel VBA for Actuaries</t>
  </si>
  <si>
    <t>Project 2: Financial Modeling Single Person with VBA</t>
  </si>
  <si>
    <t>Personal Savings Account balance at Age 65</t>
  </si>
  <si>
    <t>User Inputs</t>
  </si>
  <si>
    <t>Annual Salary Growth (starting in 2018)</t>
  </si>
  <si>
    <t>Year</t>
  </si>
  <si>
    <t>Savings</t>
  </si>
  <si>
    <t>Dynamic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</si>
</sst>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_);_(&quot;$&quot;* \(#,##0.0\);_(&quot;$&quot;* &quot;-&quot;??_);_(@_)"/>
    <numFmt numFmtId="165" formatCode="_(* #,##0.0_);_(* \(#,##0.0\);_(* &quot;-&quot;??_);_(@_)"/>
    <numFmt numFmtId="166" formatCode="0.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u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b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6"/>
      <color rgb="FF008000"/>
      <name val="Arial"/>
      <family val="2"/>
    </font>
    <font>
      <u/>
      <sz val="10"/>
      <color rgb="FF0000FF"/>
      <name val="Arial"/>
      <family val="2"/>
    </font>
    <font>
      <u/>
      <sz val="10"/>
      <name val="Arial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53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left"/>
    </xf>
    <xf numFmtId="0" fontId="4" fillId="0" borderId="0" xfId="0" applyFont="1"/>
    <xf numFmtId="0" fontId="5" fillId="0" borderId="0" xfId="0" applyFont="1"/>
    <xf numFmtId="0" fontId="6" fillId="0" borderId="0" xfId="0" applyFont="1"/>
    <xf numFmtId="164" fontId="8" fillId="0" borderId="0" xfId="2" applyNumberFormat="1" applyFont="1"/>
    <xf numFmtId="164" fontId="3" fillId="0" borderId="0" xfId="2" applyNumberFormat="1" applyFont="1"/>
    <xf numFmtId="165" fontId="8" fillId="0" borderId="3" xfId="1" applyNumberFormat="1" applyFont="1" applyBorder="1"/>
    <xf numFmtId="165" fontId="8" fillId="0" borderId="0" xfId="1" applyNumberFormat="1" applyFont="1"/>
    <xf numFmtId="166" fontId="3" fillId="0" borderId="0" xfId="3" applyNumberFormat="1" applyFont="1"/>
    <xf numFmtId="165" fontId="7" fillId="0" borderId="0" xfId="1" applyNumberFormat="1" applyFont="1"/>
    <xf numFmtId="165" fontId="9" fillId="0" borderId="0" xfId="1" applyNumberFormat="1" applyFont="1"/>
    <xf numFmtId="0" fontId="10" fillId="0" borderId="0" xfId="0" applyFont="1"/>
    <xf numFmtId="0" fontId="12" fillId="0" borderId="0" xfId="4" applyFont="1"/>
    <xf numFmtId="0" fontId="3" fillId="3" borderId="1" xfId="0" applyFont="1" applyFill="1" applyBorder="1"/>
    <xf numFmtId="0" fontId="3" fillId="3" borderId="2" xfId="0" applyFont="1" applyFill="1" applyBorder="1" applyAlignment="1">
      <alignment horizontal="center"/>
    </xf>
    <xf numFmtId="0" fontId="3" fillId="2" borderId="2" xfId="0" applyFont="1" applyFill="1" applyBorder="1"/>
    <xf numFmtId="0" fontId="13" fillId="0" borderId="0" xfId="0" applyFont="1" applyAlignment="1">
      <alignment horizontal="center"/>
    </xf>
    <xf numFmtId="0" fontId="3" fillId="3" borderId="5" xfId="0" applyFont="1" applyFill="1" applyBorder="1"/>
    <xf numFmtId="0" fontId="3" fillId="0" borderId="6" xfId="0" applyFont="1" applyBorder="1"/>
    <xf numFmtId="164" fontId="8" fillId="0" borderId="6" xfId="2" applyNumberFormat="1" applyFont="1" applyBorder="1"/>
    <xf numFmtId="165" fontId="8" fillId="0" borderId="7" xfId="1" applyNumberFormat="1" applyFont="1" applyBorder="1"/>
    <xf numFmtId="165" fontId="8" fillId="0" borderId="6" xfId="1" applyNumberFormat="1" applyFont="1" applyBorder="1"/>
    <xf numFmtId="166" fontId="3" fillId="0" borderId="6" xfId="3" applyNumberFormat="1" applyFont="1" applyBorder="1"/>
    <xf numFmtId="165" fontId="7" fillId="0" borderId="6" xfId="1" applyNumberFormat="1" applyFont="1" applyBorder="1"/>
    <xf numFmtId="165" fontId="9" fillId="0" borderId="6" xfId="1" applyNumberFormat="1" applyFont="1" applyBorder="1"/>
    <xf numFmtId="0" fontId="14" fillId="0" borderId="0" xfId="0" applyFont="1" applyAlignment="1">
      <alignment horizontal="center"/>
    </xf>
    <xf numFmtId="0" fontId="14" fillId="0" borderId="4" xfId="0" applyFont="1" applyBorder="1" applyAlignment="1">
      <alignment horizontal="center"/>
    </xf>
    <xf numFmtId="0" fontId="7" fillId="0" borderId="0" xfId="0" applyFont="1"/>
    <xf numFmtId="0" fontId="7" fillId="0" borderId="6" xfId="0" applyFont="1" applyBorder="1"/>
    <xf numFmtId="164" fontId="7" fillId="0" borderId="0" xfId="2" applyNumberFormat="1" applyFont="1"/>
    <xf numFmtId="164" fontId="7" fillId="0" borderId="6" xfId="2" applyNumberFormat="1" applyFont="1" applyBorder="1"/>
    <xf numFmtId="165" fontId="7" fillId="0" borderId="3" xfId="1" applyNumberFormat="1" applyFont="1" applyBorder="1"/>
    <xf numFmtId="165" fontId="7" fillId="0" borderId="7" xfId="1" applyNumberFormat="1" applyFont="1" applyBorder="1"/>
    <xf numFmtId="0" fontId="8" fillId="0" borderId="0" xfId="0" applyFont="1"/>
    <xf numFmtId="0" fontId="3" fillId="0" borderId="0" xfId="0" applyFont="1" applyAlignment="1">
      <alignment horizontal="right"/>
    </xf>
    <xf numFmtId="164" fontId="9" fillId="0" borderId="6" xfId="2" applyNumberFormat="1" applyFont="1" applyBorder="1"/>
    <xf numFmtId="164" fontId="9" fillId="0" borderId="0" xfId="2" applyNumberFormat="1" applyFont="1"/>
    <xf numFmtId="0" fontId="3" fillId="4" borderId="0" xfId="0" applyFont="1" applyFill="1"/>
    <xf numFmtId="9" fontId="3" fillId="0" borderId="0" xfId="0" applyNumberFormat="1" applyFont="1"/>
    <xf numFmtId="166" fontId="3" fillId="0" borderId="0" xfId="0" applyNumberFormat="1" applyFont="1"/>
    <xf numFmtId="9" fontId="8" fillId="0" borderId="0" xfId="0" applyNumberFormat="1" applyFont="1"/>
    <xf numFmtId="166" fontId="8" fillId="0" borderId="0" xfId="0" applyNumberFormat="1" applyFont="1"/>
    <xf numFmtId="166" fontId="7" fillId="0" borderId="0" xfId="0" applyNumberFormat="1" applyFont="1"/>
    <xf numFmtId="166" fontId="3" fillId="0" borderId="6" xfId="0" applyNumberFormat="1" applyFont="1" applyBorder="1"/>
    <xf numFmtId="164" fontId="3" fillId="5" borderId="0" xfId="2" applyNumberFormat="1" applyFont="1" applyFill="1"/>
    <xf numFmtId="0" fontId="3" fillId="7" borderId="0" xfId="0" applyFont="1" applyFill="1"/>
    <xf numFmtId="0" fontId="0" fillId="7" borderId="0" xfId="0" applyFill="1"/>
    <xf numFmtId="166" fontId="8" fillId="7" borderId="0" xfId="0" applyNumberFormat="1" applyFont="1" applyFill="1"/>
    <xf numFmtId="7" fontId="0" fillId="6" borderId="8" xfId="2" applyNumberFormat="1" applyFont="1" applyFill="1" applyBorder="1"/>
    <xf numFmtId="0" fontId="2" fillId="0" borderId="0" xfId="0" applyFont="1" applyAlignment="1">
      <alignment horizontal="right"/>
    </xf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Model!$M$3:$AY$3</c:f>
              <c:numCache>
                <c:formatCode>General</c:formatCode>
                <c:ptCount val="39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  <c:pt idx="34">
                  <c:v>2051</c:v>
                </c:pt>
                <c:pt idx="35">
                  <c:v>2052</c:v>
                </c:pt>
                <c:pt idx="36">
                  <c:v>2053</c:v>
                </c:pt>
                <c:pt idx="37">
                  <c:v>2054</c:v>
                </c:pt>
                <c:pt idx="38">
                  <c:v>2055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72-AB47-BA15-81E3D192C97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Model!$M$26:$AY$26</c:f>
              <c:numCache>
                <c:formatCode>_("$"* #,##0.0_);_("$"* \(#,##0.0\);_("$"* "-"??_);_(@_)</c:formatCode>
                <c:ptCount val="39"/>
                <c:pt idx="0">
                  <c:v>95231.791403440002</c:v>
                </c:pt>
                <c:pt idx="1">
                  <c:v>132172.9923718528</c:v>
                </c:pt>
                <c:pt idx="2">
                  <c:v>174996.53903647515</c:v>
                </c:pt>
                <c:pt idx="3">
                  <c:v>224451.7949282522</c:v>
                </c:pt>
                <c:pt idx="4">
                  <c:v>281379.3516632645</c:v>
                </c:pt>
                <c:pt idx="5">
                  <c:v>350322.01544678694</c:v>
                </c:pt>
                <c:pt idx="6">
                  <c:v>429169.11313185003</c:v>
                </c:pt>
                <c:pt idx="7">
                  <c:v>519158.11621406412</c:v>
                </c:pt>
                <c:pt idx="8">
                  <c:v>621676.46095133561</c:v>
                </c:pt>
                <c:pt idx="9">
                  <c:v>738279.58818082721</c:v>
                </c:pt>
                <c:pt idx="10">
                  <c:v>870711.14923531783</c:v>
                </c:pt>
                <c:pt idx="11">
                  <c:v>1020925.6379305311</c:v>
                </c:pt>
                <c:pt idx="12">
                  <c:v>1191113.7397927793</c:v>
                </c:pt>
                <c:pt idx="13">
                  <c:v>1383730.7246378146</c:v>
                </c:pt>
                <c:pt idx="14">
                  <c:v>1601528.2477463512</c:v>
                </c:pt>
                <c:pt idx="15">
                  <c:v>1847589.9687124721</c:v>
                </c:pt>
                <c:pt idx="16">
                  <c:v>2125371.4461316247</c:v>
                </c:pt>
                <c:pt idx="17">
                  <c:v>2438744.8212762852</c:v>
                </c:pt>
                <c:pt idx="18">
                  <c:v>2792048.8654865706</c:v>
                </c:pt>
                <c:pt idx="19">
                  <c:v>3190145.0349718044</c:v>
                </c:pt>
                <c:pt idx="20">
                  <c:v>3638480.2539640716</c:v>
                </c:pt>
                <c:pt idx="21">
                  <c:v>4143157.2336792806</c:v>
                </c:pt>
                <c:pt idx="22">
                  <c:v>4711013.2314375006</c:v>
                </c:pt>
                <c:pt idx="23">
                  <c:v>5349708.262818208</c:v>
                </c:pt>
                <c:pt idx="24">
                  <c:v>6067823.9012728464</c:v>
                </c:pt>
                <c:pt idx="25">
                  <c:v>6892973.9357495354</c:v>
                </c:pt>
                <c:pt idx="26">
                  <c:v>7820088.3093531458</c:v>
                </c:pt>
                <c:pt idx="27">
                  <c:v>8861491.1328285988</c:v>
                </c:pt>
                <c:pt idx="28">
                  <c:v>10030988.061911698</c:v>
                </c:pt>
                <c:pt idx="29">
                  <c:v>11344044.162279081</c:v>
                </c:pt>
                <c:pt idx="30">
                  <c:v>12817983.120678687</c:v>
                </c:pt>
                <c:pt idx="31">
                  <c:v>14472210.36385403</c:v>
                </c:pt>
                <c:pt idx="32">
                  <c:v>16328462.954271233</c:v>
                </c:pt>
                <c:pt idx="33">
                  <c:v>18411089.475941144</c:v>
                </c:pt>
                <c:pt idx="34">
                  <c:v>20747363.509226162</c:v>
                </c:pt>
                <c:pt idx="35">
                  <c:v>23367834.725390546</c:v>
                </c:pt>
                <c:pt idx="36">
                  <c:v>26306722.115346372</c:v>
                </c:pt>
                <c:pt idx="37">
                  <c:v>29602354.408784166</c:v>
                </c:pt>
                <c:pt idx="38">
                  <c:v>33297663.346622381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72-AB47-BA15-81E3D192C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630864"/>
        <c:axId val="606045680"/>
      </c:lineChart>
      <c:catAx>
        <c:axId val="605630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045680"/>
        <c:crosses val="autoZero"/>
        <c:auto val="1"/>
        <c:lblAlgn val="ctr"/>
        <c:lblOffset val="100"/>
        <c:noMultiLvlLbl val="0"/>
      </c:catAx>
      <c:valAx>
        <c:axId val="60604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63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66675</xdr:rowOff>
    </xdr:from>
    <xdr:to>
      <xdr:col>3</xdr:col>
      <xdr:colOff>485775</xdr:colOff>
      <xdr:row>5</xdr:row>
      <xdr:rowOff>6178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66675"/>
          <a:ext cx="2162175" cy="8920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32</xdr:row>
      <xdr:rowOff>0</xdr:rowOff>
    </xdr:from>
    <xdr:to>
      <xdr:col>14</xdr:col>
      <xdr:colOff>533400</xdr:colOff>
      <xdr:row>46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5</xdr:row>
          <xdr:rowOff>127000</xdr:rowOff>
        </xdr:from>
        <xdr:to>
          <xdr:col>11</xdr:col>
          <xdr:colOff>520700</xdr:colOff>
          <xdr:row>7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10</xdr:row>
          <xdr:rowOff>152400</xdr:rowOff>
        </xdr:from>
        <xdr:to>
          <xdr:col>11</xdr:col>
          <xdr:colOff>520700</xdr:colOff>
          <xdr:row>12</xdr:row>
          <xdr:rowOff>127000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17</xdr:row>
          <xdr:rowOff>25400</xdr:rowOff>
        </xdr:from>
        <xdr:to>
          <xdr:col>11</xdr:col>
          <xdr:colOff>596900</xdr:colOff>
          <xdr:row>19</xdr:row>
          <xdr:rowOff>25400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43</xdr:row>
          <xdr:rowOff>127000</xdr:rowOff>
        </xdr:from>
        <xdr:to>
          <xdr:col>12</xdr:col>
          <xdr:colOff>114300</xdr:colOff>
          <xdr:row>46</xdr:row>
          <xdr:rowOff>12700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Inputs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071E13-69F8-4349-911A-CE905ACF5F0D}" name="Table2" displayName="Table2" ref="E47:F86" totalsRowShown="0" headerRowDxfId="3" dataDxfId="2">
  <autoFilter ref="E47:F86" xr:uid="{B7025A2E-CB0C-8449-AE5A-88A73178DEF6}"/>
  <tableColumns count="2">
    <tableColumn id="1" xr3:uid="{32088673-C4EE-A046-9928-556445223243}" name="Year" dataDxfId="1"/>
    <tableColumn id="2" xr3:uid="{A7EC3288-9EF4-B049-8918-CC3516879D1A}" name="Saving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theinfiniteactuary.com/exams/33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7:D9"/>
  <sheetViews>
    <sheetView workbookViewId="0">
      <selection activeCell="H1" sqref="H1"/>
    </sheetView>
  </sheetViews>
  <sheetFormatPr baseColWidth="10" defaultColWidth="8.83203125" defaultRowHeight="15" x14ac:dyDescent="0.2"/>
  <sheetData>
    <row r="7" spans="1:4" ht="20" x14ac:dyDescent="0.2">
      <c r="A7" s="15" t="s">
        <v>4</v>
      </c>
      <c r="B7" s="14"/>
      <c r="C7" s="14"/>
      <c r="D7" s="14"/>
    </row>
    <row r="8" spans="1:4" ht="20" x14ac:dyDescent="0.2">
      <c r="A8" s="14" t="s">
        <v>30</v>
      </c>
      <c r="B8" s="14"/>
      <c r="C8" s="14"/>
      <c r="D8" s="14"/>
    </row>
    <row r="9" spans="1:4" ht="20" x14ac:dyDescent="0.2">
      <c r="A9" s="14" t="s">
        <v>31</v>
      </c>
    </row>
  </sheetData>
  <hyperlinks>
    <hyperlink ref="A7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F3:H12"/>
  <sheetViews>
    <sheetView showGridLines="0" tabSelected="1" topLeftCell="C1" workbookViewId="0">
      <selection activeCell="L22" sqref="L22"/>
    </sheetView>
  </sheetViews>
  <sheetFormatPr baseColWidth="10" defaultColWidth="8.83203125" defaultRowHeight="15" x14ac:dyDescent="0.2"/>
  <cols>
    <col min="6" max="6" width="36.5" bestFit="1" customWidth="1"/>
    <col min="8" max="8" width="23.5" customWidth="1"/>
  </cols>
  <sheetData>
    <row r="3" spans="6:8" ht="20" x14ac:dyDescent="0.2">
      <c r="F3" s="14" t="s">
        <v>33</v>
      </c>
    </row>
    <row r="5" spans="6:8" x14ac:dyDescent="0.2">
      <c r="F5" s="48" t="s">
        <v>34</v>
      </c>
      <c r="G5" s="49"/>
      <c r="H5" s="50"/>
    </row>
    <row r="6" spans="6:8" x14ac:dyDescent="0.2">
      <c r="F6" s="2" t="s">
        <v>22</v>
      </c>
      <c r="H6" s="44"/>
    </row>
    <row r="7" spans="6:8" x14ac:dyDescent="0.2">
      <c r="F7" s="48" t="s">
        <v>23</v>
      </c>
      <c r="G7" s="49"/>
      <c r="H7" s="50"/>
    </row>
    <row r="8" spans="6:8" x14ac:dyDescent="0.2">
      <c r="F8" s="2" t="s">
        <v>25</v>
      </c>
      <c r="H8" s="44"/>
    </row>
    <row r="9" spans="6:8" x14ac:dyDescent="0.2">
      <c r="F9" s="48" t="s">
        <v>27</v>
      </c>
      <c r="G9" s="49"/>
      <c r="H9" s="50"/>
    </row>
    <row r="10" spans="6:8" x14ac:dyDescent="0.2">
      <c r="F10" s="2" t="s">
        <v>26</v>
      </c>
      <c r="H10" s="43"/>
    </row>
    <row r="11" spans="6:8" ht="16" thickBot="1" x14ac:dyDescent="0.25"/>
    <row r="12" spans="6:8" ht="16" thickBot="1" x14ac:dyDescent="0.25">
      <c r="F12" s="2" t="s">
        <v>32</v>
      </c>
      <c r="H12" s="5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oreInputs">
                <anchor moveWithCells="1" sizeWithCells="1">
                  <from>
                    <xdr:col>9</xdr:col>
                    <xdr:colOff>342900</xdr:colOff>
                    <xdr:row>5</xdr:row>
                    <xdr:rowOff>127000</xdr:rowOff>
                  </from>
                  <to>
                    <xdr:col>11</xdr:col>
                    <xdr:colOff>520700</xdr:colOff>
                    <xdr:row>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learInputs">
                <anchor moveWithCells="1" sizeWithCells="1">
                  <from>
                    <xdr:col>9</xdr:col>
                    <xdr:colOff>342900</xdr:colOff>
                    <xdr:row>10</xdr:row>
                    <xdr:rowOff>152400</xdr:rowOff>
                  </from>
                  <to>
                    <xdr:col>11</xdr:col>
                    <xdr:colOff>520700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oToModel">
                <anchor moveWithCells="1" sizeWithCells="1">
                  <from>
                    <xdr:col>9</xdr:col>
                    <xdr:colOff>419100</xdr:colOff>
                    <xdr:row>17</xdr:row>
                    <xdr:rowOff>25400</xdr:rowOff>
                  </from>
                  <to>
                    <xdr:col>11</xdr:col>
                    <xdr:colOff>596900</xdr:colOff>
                    <xdr:row>19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Y97"/>
  <sheetViews>
    <sheetView zoomScaleNormal="100" workbookViewId="0">
      <selection activeCell="M55" sqref="M55"/>
    </sheetView>
  </sheetViews>
  <sheetFormatPr baseColWidth="10" defaultColWidth="9.1640625" defaultRowHeight="13" x14ac:dyDescent="0.15"/>
  <cols>
    <col min="1" max="1" width="9.1640625" style="2"/>
    <col min="2" max="2" width="4" style="2" customWidth="1"/>
    <col min="3" max="4" width="9.1640625" style="2"/>
    <col min="5" max="5" width="12.83203125" style="2" bestFit="1" customWidth="1"/>
    <col min="6" max="6" width="10.1640625" style="2" customWidth="1"/>
    <col min="7" max="7" width="9.1640625" style="2"/>
    <col min="8" max="8" width="10.5" style="2" bestFit="1" customWidth="1"/>
    <col min="9" max="12" width="11.33203125" style="2" bestFit="1" customWidth="1"/>
    <col min="13" max="13" width="11.5" style="2" bestFit="1" customWidth="1"/>
    <col min="14" max="30" width="12.33203125" style="2" bestFit="1" customWidth="1"/>
    <col min="31" max="51" width="14" style="2" bestFit="1" customWidth="1"/>
    <col min="52" max="16384" width="9.1640625" style="2"/>
  </cols>
  <sheetData>
    <row r="1" spans="1:51" x14ac:dyDescent="0.15">
      <c r="A1" s="6"/>
      <c r="G1" s="37" t="s">
        <v>15</v>
      </c>
      <c r="H1" s="36">
        <v>22</v>
      </c>
      <c r="I1" s="2">
        <f>H1+1</f>
        <v>23</v>
      </c>
      <c r="J1" s="2">
        <f t="shared" ref="J1:AY1" si="0">I1+1</f>
        <v>24</v>
      </c>
      <c r="K1" s="2">
        <f t="shared" si="0"/>
        <v>25</v>
      </c>
      <c r="L1" s="2">
        <f t="shared" si="0"/>
        <v>26</v>
      </c>
      <c r="M1" s="2">
        <f t="shared" si="0"/>
        <v>27</v>
      </c>
      <c r="N1" s="2">
        <f t="shared" si="0"/>
        <v>28</v>
      </c>
      <c r="O1" s="2">
        <f t="shared" si="0"/>
        <v>29</v>
      </c>
      <c r="P1" s="2">
        <f t="shared" si="0"/>
        <v>30</v>
      </c>
      <c r="Q1" s="2">
        <f t="shared" si="0"/>
        <v>31</v>
      </c>
      <c r="R1" s="2">
        <f t="shared" si="0"/>
        <v>32</v>
      </c>
      <c r="S1" s="2">
        <f t="shared" si="0"/>
        <v>33</v>
      </c>
      <c r="T1" s="2">
        <f t="shared" si="0"/>
        <v>34</v>
      </c>
      <c r="U1" s="2">
        <f t="shared" si="0"/>
        <v>35</v>
      </c>
      <c r="V1" s="2">
        <f t="shared" si="0"/>
        <v>36</v>
      </c>
      <c r="W1" s="2">
        <f t="shared" si="0"/>
        <v>37</v>
      </c>
      <c r="X1" s="2">
        <f t="shared" si="0"/>
        <v>38</v>
      </c>
      <c r="Y1" s="2">
        <f t="shared" si="0"/>
        <v>39</v>
      </c>
      <c r="Z1" s="2">
        <f t="shared" si="0"/>
        <v>40</v>
      </c>
      <c r="AA1" s="2">
        <f t="shared" si="0"/>
        <v>41</v>
      </c>
      <c r="AB1" s="2">
        <f t="shared" si="0"/>
        <v>42</v>
      </c>
      <c r="AC1" s="2">
        <f t="shared" si="0"/>
        <v>43</v>
      </c>
      <c r="AD1" s="2">
        <f t="shared" si="0"/>
        <v>44</v>
      </c>
      <c r="AE1" s="2">
        <f t="shared" si="0"/>
        <v>45</v>
      </c>
      <c r="AF1" s="2">
        <f t="shared" si="0"/>
        <v>46</v>
      </c>
      <c r="AG1" s="2">
        <f t="shared" si="0"/>
        <v>47</v>
      </c>
      <c r="AH1" s="2">
        <f t="shared" si="0"/>
        <v>48</v>
      </c>
      <c r="AI1" s="2">
        <f t="shared" si="0"/>
        <v>49</v>
      </c>
      <c r="AJ1" s="2">
        <f t="shared" si="0"/>
        <v>50</v>
      </c>
      <c r="AK1" s="2">
        <f t="shared" si="0"/>
        <v>51</v>
      </c>
      <c r="AL1" s="2">
        <f t="shared" si="0"/>
        <v>52</v>
      </c>
      <c r="AM1" s="2">
        <f t="shared" si="0"/>
        <v>53</v>
      </c>
      <c r="AN1" s="2">
        <f t="shared" si="0"/>
        <v>54</v>
      </c>
      <c r="AO1" s="2">
        <f t="shared" si="0"/>
        <v>55</v>
      </c>
      <c r="AP1" s="2">
        <f t="shared" si="0"/>
        <v>56</v>
      </c>
      <c r="AQ1" s="2">
        <f t="shared" si="0"/>
        <v>57</v>
      </c>
      <c r="AR1" s="2">
        <f t="shared" si="0"/>
        <v>58</v>
      </c>
      <c r="AS1" s="2">
        <f t="shared" si="0"/>
        <v>59</v>
      </c>
      <c r="AT1" s="2">
        <f t="shared" si="0"/>
        <v>60</v>
      </c>
      <c r="AU1" s="2">
        <f t="shared" si="0"/>
        <v>61</v>
      </c>
      <c r="AV1" s="2">
        <f t="shared" si="0"/>
        <v>62</v>
      </c>
      <c r="AW1" s="2">
        <f t="shared" si="0"/>
        <v>63</v>
      </c>
      <c r="AX1" s="2">
        <f t="shared" si="0"/>
        <v>64</v>
      </c>
      <c r="AY1" s="2">
        <f t="shared" si="0"/>
        <v>65</v>
      </c>
    </row>
    <row r="2" spans="1:51" x14ac:dyDescent="0.15">
      <c r="H2" s="16"/>
      <c r="I2" s="17"/>
      <c r="J2" s="17" t="s">
        <v>1</v>
      </c>
      <c r="K2" s="17"/>
      <c r="L2" s="20"/>
      <c r="M2" s="18"/>
      <c r="N2" s="18" t="s">
        <v>2</v>
      </c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</row>
    <row r="3" spans="1:51" x14ac:dyDescent="0.15">
      <c r="H3" s="28">
        <f t="shared" ref="H3:J3" si="1">I3-1</f>
        <v>2012</v>
      </c>
      <c r="I3" s="28">
        <f t="shared" si="1"/>
        <v>2013</v>
      </c>
      <c r="J3" s="28">
        <f t="shared" si="1"/>
        <v>2014</v>
      </c>
      <c r="K3" s="28">
        <f>L3-1</f>
        <v>2015</v>
      </c>
      <c r="L3" s="29">
        <f>M3-1</f>
        <v>2016</v>
      </c>
      <c r="M3" s="19">
        <v>2017</v>
      </c>
      <c r="N3" s="28">
        <f>M3+1</f>
        <v>2018</v>
      </c>
      <c r="O3" s="28">
        <f t="shared" ref="O3:AN3" si="2">N3+1</f>
        <v>2019</v>
      </c>
      <c r="P3" s="28">
        <f t="shared" si="2"/>
        <v>2020</v>
      </c>
      <c r="Q3" s="28">
        <f t="shared" si="2"/>
        <v>2021</v>
      </c>
      <c r="R3" s="28">
        <f t="shared" si="2"/>
        <v>2022</v>
      </c>
      <c r="S3" s="28">
        <f t="shared" si="2"/>
        <v>2023</v>
      </c>
      <c r="T3" s="28">
        <f t="shared" si="2"/>
        <v>2024</v>
      </c>
      <c r="U3" s="28">
        <f t="shared" si="2"/>
        <v>2025</v>
      </c>
      <c r="V3" s="28">
        <f t="shared" si="2"/>
        <v>2026</v>
      </c>
      <c r="W3" s="28">
        <f t="shared" si="2"/>
        <v>2027</v>
      </c>
      <c r="X3" s="28">
        <f t="shared" si="2"/>
        <v>2028</v>
      </c>
      <c r="Y3" s="28">
        <f t="shared" si="2"/>
        <v>2029</v>
      </c>
      <c r="Z3" s="28">
        <f t="shared" si="2"/>
        <v>2030</v>
      </c>
      <c r="AA3" s="28">
        <f t="shared" si="2"/>
        <v>2031</v>
      </c>
      <c r="AB3" s="28">
        <f t="shared" si="2"/>
        <v>2032</v>
      </c>
      <c r="AC3" s="28">
        <f t="shared" si="2"/>
        <v>2033</v>
      </c>
      <c r="AD3" s="28">
        <f t="shared" si="2"/>
        <v>2034</v>
      </c>
      <c r="AE3" s="28">
        <f t="shared" si="2"/>
        <v>2035</v>
      </c>
      <c r="AF3" s="28">
        <f t="shared" si="2"/>
        <v>2036</v>
      </c>
      <c r="AG3" s="28">
        <f t="shared" si="2"/>
        <v>2037</v>
      </c>
      <c r="AH3" s="28">
        <f t="shared" si="2"/>
        <v>2038</v>
      </c>
      <c r="AI3" s="28">
        <f t="shared" si="2"/>
        <v>2039</v>
      </c>
      <c r="AJ3" s="28">
        <f t="shared" si="2"/>
        <v>2040</v>
      </c>
      <c r="AK3" s="28">
        <f t="shared" si="2"/>
        <v>2041</v>
      </c>
      <c r="AL3" s="28">
        <f t="shared" si="2"/>
        <v>2042</v>
      </c>
      <c r="AM3" s="28">
        <f t="shared" si="2"/>
        <v>2043</v>
      </c>
      <c r="AN3" s="28">
        <f t="shared" si="2"/>
        <v>2044</v>
      </c>
      <c r="AO3" s="28">
        <f t="shared" ref="AO3:AY3" si="3">AN3+1</f>
        <v>2045</v>
      </c>
      <c r="AP3" s="28">
        <f t="shared" si="3"/>
        <v>2046</v>
      </c>
      <c r="AQ3" s="28">
        <f t="shared" si="3"/>
        <v>2047</v>
      </c>
      <c r="AR3" s="28">
        <f t="shared" si="3"/>
        <v>2048</v>
      </c>
      <c r="AS3" s="28">
        <f t="shared" si="3"/>
        <v>2049</v>
      </c>
      <c r="AT3" s="28">
        <f t="shared" si="3"/>
        <v>2050</v>
      </c>
      <c r="AU3" s="28">
        <f t="shared" si="3"/>
        <v>2051</v>
      </c>
      <c r="AV3" s="28">
        <f t="shared" si="3"/>
        <v>2052</v>
      </c>
      <c r="AW3" s="28">
        <f t="shared" si="3"/>
        <v>2053</v>
      </c>
      <c r="AX3" s="28">
        <f t="shared" si="3"/>
        <v>2054</v>
      </c>
      <c r="AY3" s="28">
        <f t="shared" si="3"/>
        <v>2055</v>
      </c>
    </row>
    <row r="4" spans="1:51" x14ac:dyDescent="0.15">
      <c r="H4" s="30"/>
      <c r="I4" s="30"/>
      <c r="J4" s="30"/>
      <c r="K4" s="30"/>
      <c r="L4" s="31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</row>
    <row r="5" spans="1:51" x14ac:dyDescent="0.15">
      <c r="B5" s="4" t="s">
        <v>7</v>
      </c>
      <c r="H5" s="30"/>
      <c r="I5" s="30"/>
      <c r="J5" s="30"/>
      <c r="K5" s="30"/>
      <c r="L5" s="31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</row>
    <row r="6" spans="1:51" x14ac:dyDescent="0.15">
      <c r="B6" s="2" t="s">
        <v>13</v>
      </c>
      <c r="H6" s="7">
        <v>50000</v>
      </c>
      <c r="I6" s="7">
        <v>60000</v>
      </c>
      <c r="J6" s="7">
        <v>70000</v>
      </c>
      <c r="K6" s="7">
        <v>80000</v>
      </c>
      <c r="L6" s="22">
        <v>90000</v>
      </c>
      <c r="M6" s="32">
        <f>L6*(1+M31)</f>
        <v>91080</v>
      </c>
      <c r="N6" s="32">
        <f t="shared" ref="N6:AY6" si="4">M6*(1+N31)</f>
        <v>93812.400000000009</v>
      </c>
      <c r="O6" s="32">
        <f t="shared" si="4"/>
        <v>96626.772000000012</v>
      </c>
      <c r="P6" s="32">
        <f t="shared" si="4"/>
        <v>99525.575160000008</v>
      </c>
      <c r="Q6" s="32">
        <f t="shared" si="4"/>
        <v>102511.3424148</v>
      </c>
      <c r="R6" s="32">
        <f t="shared" si="4"/>
        <v>105586.68268724401</v>
      </c>
      <c r="S6" s="32">
        <f t="shared" si="4"/>
        <v>108754.28316786134</v>
      </c>
      <c r="T6" s="32">
        <f t="shared" si="4"/>
        <v>112016.91166289718</v>
      </c>
      <c r="U6" s="32">
        <f t="shared" si="4"/>
        <v>115377.4190127841</v>
      </c>
      <c r="V6" s="32">
        <f t="shared" si="4"/>
        <v>118838.74158316762</v>
      </c>
      <c r="W6" s="32">
        <f t="shared" si="4"/>
        <v>122403.90383066265</v>
      </c>
      <c r="X6" s="32">
        <f t="shared" si="4"/>
        <v>126076.02094558252</v>
      </c>
      <c r="Y6" s="32">
        <f t="shared" si="4"/>
        <v>129858.30157395</v>
      </c>
      <c r="Z6" s="32">
        <f t="shared" si="4"/>
        <v>133754.05062116851</v>
      </c>
      <c r="AA6" s="32">
        <f t="shared" si="4"/>
        <v>137766.67213980356</v>
      </c>
      <c r="AB6" s="32">
        <f t="shared" si="4"/>
        <v>141899.67230399768</v>
      </c>
      <c r="AC6" s="32">
        <f t="shared" si="4"/>
        <v>146156.66247311761</v>
      </c>
      <c r="AD6" s="32">
        <f t="shared" si="4"/>
        <v>150541.36234731114</v>
      </c>
      <c r="AE6" s="32">
        <f t="shared" si="4"/>
        <v>155057.60321773047</v>
      </c>
      <c r="AF6" s="32">
        <f t="shared" si="4"/>
        <v>159709.33131426238</v>
      </c>
      <c r="AG6" s="32">
        <f t="shared" si="4"/>
        <v>164500.61125369027</v>
      </c>
      <c r="AH6" s="32">
        <f t="shared" si="4"/>
        <v>169435.62959130097</v>
      </c>
      <c r="AI6" s="32">
        <f t="shared" si="4"/>
        <v>174518.69847904</v>
      </c>
      <c r="AJ6" s="32">
        <f t="shared" si="4"/>
        <v>179754.25943341121</v>
      </c>
      <c r="AK6" s="32">
        <f t="shared" si="4"/>
        <v>185146.88721641354</v>
      </c>
      <c r="AL6" s="32">
        <f t="shared" si="4"/>
        <v>190701.29383290594</v>
      </c>
      <c r="AM6" s="32">
        <f t="shared" si="4"/>
        <v>196422.33264789311</v>
      </c>
      <c r="AN6" s="32">
        <f t="shared" si="4"/>
        <v>202315.0026273299</v>
      </c>
      <c r="AO6" s="32">
        <f t="shared" si="4"/>
        <v>208384.45270614981</v>
      </c>
      <c r="AP6" s="32">
        <f t="shared" si="4"/>
        <v>214635.98628733432</v>
      </c>
      <c r="AQ6" s="32">
        <f t="shared" si="4"/>
        <v>221075.06587595434</v>
      </c>
      <c r="AR6" s="32">
        <f t="shared" si="4"/>
        <v>227707.31785223298</v>
      </c>
      <c r="AS6" s="32">
        <f t="shared" si="4"/>
        <v>234538.53738779997</v>
      </c>
      <c r="AT6" s="32">
        <f t="shared" si="4"/>
        <v>241574.69350943397</v>
      </c>
      <c r="AU6" s="32">
        <f t="shared" si="4"/>
        <v>248821.93431471699</v>
      </c>
      <c r="AV6" s="32">
        <f t="shared" si="4"/>
        <v>256286.5923441585</v>
      </c>
      <c r="AW6" s="32">
        <f t="shared" si="4"/>
        <v>263975.19011448324</v>
      </c>
      <c r="AX6" s="32">
        <f t="shared" si="4"/>
        <v>271894.44581791776</v>
      </c>
      <c r="AY6" s="32">
        <f t="shared" si="4"/>
        <v>280051.27919245529</v>
      </c>
    </row>
    <row r="7" spans="1:51" x14ac:dyDescent="0.15">
      <c r="H7" s="34"/>
      <c r="I7" s="34"/>
      <c r="J7" s="34"/>
      <c r="K7" s="34"/>
      <c r="L7" s="35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</row>
    <row r="8" spans="1:51" x14ac:dyDescent="0.15">
      <c r="C8" s="3" t="s">
        <v>8</v>
      </c>
      <c r="H8" s="12">
        <f>SUM(H6:H7)</f>
        <v>50000</v>
      </c>
      <c r="I8" s="12">
        <f t="shared" ref="I8:L8" si="5">SUM(I6:I7)</f>
        <v>60000</v>
      </c>
      <c r="J8" s="12">
        <f t="shared" si="5"/>
        <v>70000</v>
      </c>
      <c r="K8" s="12">
        <f t="shared" si="5"/>
        <v>80000</v>
      </c>
      <c r="L8" s="26">
        <f t="shared" si="5"/>
        <v>90000</v>
      </c>
      <c r="M8" s="12">
        <f t="shared" ref="M8" si="6">SUM(M6:M7)</f>
        <v>91080</v>
      </c>
      <c r="N8" s="12">
        <f t="shared" ref="N8" si="7">SUM(N6:N7)</f>
        <v>93812.400000000009</v>
      </c>
      <c r="O8" s="12">
        <f t="shared" ref="O8" si="8">SUM(O6:O7)</f>
        <v>96626.772000000012</v>
      </c>
      <c r="P8" s="12">
        <f t="shared" ref="P8" si="9">SUM(P6:P7)</f>
        <v>99525.575160000008</v>
      </c>
      <c r="Q8" s="12">
        <f t="shared" ref="Q8" si="10">SUM(Q6:Q7)</f>
        <v>102511.3424148</v>
      </c>
      <c r="R8" s="12">
        <f t="shared" ref="R8" si="11">SUM(R6:R7)</f>
        <v>105586.68268724401</v>
      </c>
      <c r="S8" s="12">
        <f t="shared" ref="S8" si="12">SUM(S6:S7)</f>
        <v>108754.28316786134</v>
      </c>
      <c r="T8" s="12">
        <f t="shared" ref="T8" si="13">SUM(T6:T7)</f>
        <v>112016.91166289718</v>
      </c>
      <c r="U8" s="12">
        <f t="shared" ref="U8" si="14">SUM(U6:U7)</f>
        <v>115377.4190127841</v>
      </c>
      <c r="V8" s="12">
        <f t="shared" ref="V8" si="15">SUM(V6:V7)</f>
        <v>118838.74158316762</v>
      </c>
      <c r="W8" s="12">
        <f t="shared" ref="W8" si="16">SUM(W6:W7)</f>
        <v>122403.90383066265</v>
      </c>
      <c r="X8" s="12">
        <f t="shared" ref="X8" si="17">SUM(X6:X7)</f>
        <v>126076.02094558252</v>
      </c>
      <c r="Y8" s="12">
        <f t="shared" ref="Y8" si="18">SUM(Y6:Y7)</f>
        <v>129858.30157395</v>
      </c>
      <c r="Z8" s="12">
        <f t="shared" ref="Z8" si="19">SUM(Z6:Z7)</f>
        <v>133754.05062116851</v>
      </c>
      <c r="AA8" s="12">
        <f t="shared" ref="AA8" si="20">SUM(AA6:AA7)</f>
        <v>137766.67213980356</v>
      </c>
      <c r="AB8" s="12">
        <f t="shared" ref="AB8" si="21">SUM(AB6:AB7)</f>
        <v>141899.67230399768</v>
      </c>
      <c r="AC8" s="12">
        <f t="shared" ref="AC8" si="22">SUM(AC6:AC7)</f>
        <v>146156.66247311761</v>
      </c>
      <c r="AD8" s="12">
        <f t="shared" ref="AD8" si="23">SUM(AD6:AD7)</f>
        <v>150541.36234731114</v>
      </c>
      <c r="AE8" s="12">
        <f t="shared" ref="AE8" si="24">SUM(AE6:AE7)</f>
        <v>155057.60321773047</v>
      </c>
      <c r="AF8" s="12">
        <f t="shared" ref="AF8" si="25">SUM(AF6:AF7)</f>
        <v>159709.33131426238</v>
      </c>
      <c r="AG8" s="12">
        <f t="shared" ref="AG8" si="26">SUM(AG6:AG7)</f>
        <v>164500.61125369027</v>
      </c>
      <c r="AH8" s="12">
        <f t="shared" ref="AH8" si="27">SUM(AH6:AH7)</f>
        <v>169435.62959130097</v>
      </c>
      <c r="AI8" s="12">
        <f t="shared" ref="AI8" si="28">SUM(AI6:AI7)</f>
        <v>174518.69847904</v>
      </c>
      <c r="AJ8" s="12">
        <f t="shared" ref="AJ8" si="29">SUM(AJ6:AJ7)</f>
        <v>179754.25943341121</v>
      </c>
      <c r="AK8" s="12">
        <f t="shared" ref="AK8" si="30">SUM(AK6:AK7)</f>
        <v>185146.88721641354</v>
      </c>
      <c r="AL8" s="12">
        <f t="shared" ref="AL8" si="31">SUM(AL6:AL7)</f>
        <v>190701.29383290594</v>
      </c>
      <c r="AM8" s="12">
        <f t="shared" ref="AM8" si="32">SUM(AM6:AM7)</f>
        <v>196422.33264789311</v>
      </c>
      <c r="AN8" s="12">
        <f t="shared" ref="AN8" si="33">SUM(AN6:AN7)</f>
        <v>202315.0026273299</v>
      </c>
      <c r="AO8" s="12">
        <f t="shared" ref="AO8" si="34">SUM(AO6:AO7)</f>
        <v>208384.45270614981</v>
      </c>
      <c r="AP8" s="12">
        <f t="shared" ref="AP8" si="35">SUM(AP6:AP7)</f>
        <v>214635.98628733432</v>
      </c>
      <c r="AQ8" s="12">
        <f t="shared" ref="AQ8" si="36">SUM(AQ6:AQ7)</f>
        <v>221075.06587595434</v>
      </c>
      <c r="AR8" s="12">
        <f t="shared" ref="AR8" si="37">SUM(AR6:AR7)</f>
        <v>227707.31785223298</v>
      </c>
      <c r="AS8" s="12">
        <f t="shared" ref="AS8" si="38">SUM(AS6:AS7)</f>
        <v>234538.53738779997</v>
      </c>
      <c r="AT8" s="12">
        <f t="shared" ref="AT8" si="39">SUM(AT6:AT7)</f>
        <v>241574.69350943397</v>
      </c>
      <c r="AU8" s="12">
        <f t="shared" ref="AU8" si="40">SUM(AU6:AU7)</f>
        <v>248821.93431471699</v>
      </c>
      <c r="AV8" s="12">
        <f t="shared" ref="AV8" si="41">SUM(AV6:AV7)</f>
        <v>256286.5923441585</v>
      </c>
      <c r="AW8" s="12">
        <f t="shared" ref="AW8" si="42">SUM(AW6:AW7)</f>
        <v>263975.19011448324</v>
      </c>
      <c r="AX8" s="12">
        <f t="shared" ref="AX8" si="43">SUM(AX6:AX7)</f>
        <v>271894.44581791776</v>
      </c>
      <c r="AY8" s="12">
        <f t="shared" ref="AY8" si="44">SUM(AY6:AY7)</f>
        <v>280051.27919245529</v>
      </c>
    </row>
    <row r="9" spans="1:51" x14ac:dyDescent="0.15">
      <c r="H9" s="12"/>
      <c r="I9" s="12"/>
      <c r="J9" s="12"/>
      <c r="K9" s="12"/>
      <c r="L9" s="26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</row>
    <row r="10" spans="1:51" x14ac:dyDescent="0.15">
      <c r="B10" s="4" t="s">
        <v>9</v>
      </c>
      <c r="H10" s="12"/>
      <c r="I10" s="12"/>
      <c r="J10" s="12"/>
      <c r="K10" s="12"/>
      <c r="L10" s="26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</row>
    <row r="11" spans="1:51" x14ac:dyDescent="0.15">
      <c r="B11" s="2" t="s">
        <v>5</v>
      </c>
      <c r="H11" s="10">
        <f>1500*12</f>
        <v>18000</v>
      </c>
      <c r="I11" s="10">
        <f t="shared" ref="I11:L11" si="45">1500*12</f>
        <v>18000</v>
      </c>
      <c r="J11" s="10">
        <f t="shared" si="45"/>
        <v>18000</v>
      </c>
      <c r="K11" s="10">
        <f t="shared" si="45"/>
        <v>18000</v>
      </c>
      <c r="L11" s="24">
        <f t="shared" si="45"/>
        <v>18000</v>
      </c>
      <c r="M11" s="12">
        <f>L11</f>
        <v>18000</v>
      </c>
      <c r="N11" s="12">
        <f t="shared" ref="N11:AK11" si="46">M11</f>
        <v>18000</v>
      </c>
      <c r="O11" s="12">
        <f t="shared" si="46"/>
        <v>18000</v>
      </c>
      <c r="P11" s="12">
        <f t="shared" si="46"/>
        <v>18000</v>
      </c>
      <c r="Q11" s="12">
        <f t="shared" si="46"/>
        <v>18000</v>
      </c>
      <c r="R11" s="12">
        <f t="shared" si="46"/>
        <v>18000</v>
      </c>
      <c r="S11" s="12">
        <f t="shared" si="46"/>
        <v>18000</v>
      </c>
      <c r="T11" s="12">
        <f t="shared" si="46"/>
        <v>18000</v>
      </c>
      <c r="U11" s="12">
        <f t="shared" si="46"/>
        <v>18000</v>
      </c>
      <c r="V11" s="12">
        <f t="shared" si="46"/>
        <v>18000</v>
      </c>
      <c r="W11" s="12">
        <f t="shared" si="46"/>
        <v>18000</v>
      </c>
      <c r="X11" s="12">
        <f t="shared" si="46"/>
        <v>18000</v>
      </c>
      <c r="Y11" s="12">
        <f t="shared" si="46"/>
        <v>18000</v>
      </c>
      <c r="Z11" s="12">
        <f t="shared" si="46"/>
        <v>18000</v>
      </c>
      <c r="AA11" s="12">
        <f t="shared" si="46"/>
        <v>18000</v>
      </c>
      <c r="AB11" s="12">
        <f t="shared" si="46"/>
        <v>18000</v>
      </c>
      <c r="AC11" s="12">
        <f t="shared" si="46"/>
        <v>18000</v>
      </c>
      <c r="AD11" s="12">
        <f t="shared" si="46"/>
        <v>18000</v>
      </c>
      <c r="AE11" s="12">
        <f t="shared" si="46"/>
        <v>18000</v>
      </c>
      <c r="AF11" s="12">
        <f t="shared" si="46"/>
        <v>18000</v>
      </c>
      <c r="AG11" s="12">
        <f t="shared" si="46"/>
        <v>18000</v>
      </c>
      <c r="AH11" s="12">
        <f t="shared" si="46"/>
        <v>18000</v>
      </c>
      <c r="AI11" s="12">
        <f t="shared" si="46"/>
        <v>18000</v>
      </c>
      <c r="AJ11" s="12">
        <f t="shared" si="46"/>
        <v>18000</v>
      </c>
      <c r="AK11" s="12">
        <f t="shared" si="46"/>
        <v>18000</v>
      </c>
      <c r="AL11" s="12"/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</row>
    <row r="12" spans="1:51" x14ac:dyDescent="0.15">
      <c r="B12" s="2" t="s">
        <v>14</v>
      </c>
      <c r="H12" s="10">
        <f>300*12</f>
        <v>3600</v>
      </c>
      <c r="I12" s="10">
        <f t="shared" ref="I12:L12" si="47">300*12</f>
        <v>3600</v>
      </c>
      <c r="J12" s="10">
        <f t="shared" si="47"/>
        <v>3600</v>
      </c>
      <c r="K12" s="10">
        <f t="shared" si="47"/>
        <v>3600</v>
      </c>
      <c r="L12" s="24">
        <f t="shared" si="47"/>
        <v>3600</v>
      </c>
      <c r="M12" s="12">
        <f>L12</f>
        <v>3600</v>
      </c>
      <c r="N12" s="12">
        <f t="shared" ref="N12:Q12" si="48">M12</f>
        <v>3600</v>
      </c>
      <c r="O12" s="12">
        <f t="shared" si="48"/>
        <v>3600</v>
      </c>
      <c r="P12" s="12">
        <f t="shared" si="48"/>
        <v>3600</v>
      </c>
      <c r="Q12" s="12">
        <f t="shared" si="48"/>
        <v>3600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</row>
    <row r="13" spans="1:51" x14ac:dyDescent="0.15">
      <c r="B13" s="2" t="s">
        <v>16</v>
      </c>
      <c r="H13" s="10">
        <v>250</v>
      </c>
      <c r="I13" s="10">
        <v>300</v>
      </c>
      <c r="J13" s="10">
        <v>350</v>
      </c>
      <c r="K13" s="10">
        <v>400</v>
      </c>
      <c r="L13" s="24">
        <v>450</v>
      </c>
      <c r="M13" s="12">
        <f>M6*M34</f>
        <v>2003.76</v>
      </c>
      <c r="N13" s="12">
        <f t="shared" ref="N13:AY13" si="49">N6*N34</f>
        <v>2063.8728000000001</v>
      </c>
      <c r="O13" s="12">
        <f t="shared" si="49"/>
        <v>2125.7889840000003</v>
      </c>
      <c r="P13" s="12">
        <f t="shared" si="49"/>
        <v>2189.5626535199999</v>
      </c>
      <c r="Q13" s="12">
        <f t="shared" si="49"/>
        <v>2255.2495331256</v>
      </c>
      <c r="R13" s="12">
        <f t="shared" si="49"/>
        <v>2322.9070191193682</v>
      </c>
      <c r="S13" s="12">
        <f t="shared" si="49"/>
        <v>2392.5942296929493</v>
      </c>
      <c r="T13" s="12">
        <f t="shared" si="49"/>
        <v>2464.372056583738</v>
      </c>
      <c r="U13" s="12">
        <f t="shared" si="49"/>
        <v>2538.3032182812499</v>
      </c>
      <c r="V13" s="12">
        <f t="shared" si="49"/>
        <v>2614.4523148296876</v>
      </c>
      <c r="W13" s="12">
        <f t="shared" si="49"/>
        <v>2692.8858842745781</v>
      </c>
      <c r="X13" s="12">
        <f t="shared" si="49"/>
        <v>2773.6724608028153</v>
      </c>
      <c r="Y13" s="12">
        <f t="shared" si="49"/>
        <v>2856.8826346268997</v>
      </c>
      <c r="Z13" s="12">
        <f t="shared" si="49"/>
        <v>2942.5891136657069</v>
      </c>
      <c r="AA13" s="12">
        <f t="shared" si="49"/>
        <v>3030.8667870756781</v>
      </c>
      <c r="AB13" s="12">
        <f t="shared" si="49"/>
        <v>3121.7927906879486</v>
      </c>
      <c r="AC13" s="12">
        <f t="shared" si="49"/>
        <v>3215.4465744085874</v>
      </c>
      <c r="AD13" s="12">
        <f t="shared" si="49"/>
        <v>3311.909971640845</v>
      </c>
      <c r="AE13" s="12">
        <f t="shared" si="49"/>
        <v>3411.2672707900701</v>
      </c>
      <c r="AF13" s="12">
        <f t="shared" si="49"/>
        <v>3513.6052889137723</v>
      </c>
      <c r="AG13" s="12">
        <f t="shared" si="49"/>
        <v>3619.0134475811856</v>
      </c>
      <c r="AH13" s="12">
        <f t="shared" si="49"/>
        <v>3727.583851008621</v>
      </c>
      <c r="AI13" s="12">
        <f t="shared" si="49"/>
        <v>3839.41136653888</v>
      </c>
      <c r="AJ13" s="12">
        <f t="shared" si="49"/>
        <v>3954.5937075350462</v>
      </c>
      <c r="AK13" s="12">
        <f t="shared" si="49"/>
        <v>4073.2315187610975</v>
      </c>
      <c r="AL13" s="12">
        <f t="shared" si="49"/>
        <v>4195.4284643239307</v>
      </c>
      <c r="AM13" s="12">
        <f t="shared" si="49"/>
        <v>4321.2913182536486</v>
      </c>
      <c r="AN13" s="12">
        <f t="shared" si="49"/>
        <v>4450.9300578012571</v>
      </c>
      <c r="AO13" s="12">
        <f t="shared" si="49"/>
        <v>4584.4579595352952</v>
      </c>
      <c r="AP13" s="12">
        <f t="shared" si="49"/>
        <v>4721.9916983213552</v>
      </c>
      <c r="AQ13" s="12">
        <f t="shared" si="49"/>
        <v>4863.6514492709957</v>
      </c>
      <c r="AR13" s="12">
        <f t="shared" si="49"/>
        <v>5009.560992749125</v>
      </c>
      <c r="AS13" s="12">
        <f t="shared" si="49"/>
        <v>5159.8478225315994</v>
      </c>
      <c r="AT13" s="12">
        <f t="shared" si="49"/>
        <v>5314.6432572075473</v>
      </c>
      <c r="AU13" s="12">
        <f t="shared" si="49"/>
        <v>5474.0825549237734</v>
      </c>
      <c r="AV13" s="12">
        <f t="shared" si="49"/>
        <v>5638.3050315714863</v>
      </c>
      <c r="AW13" s="12">
        <f t="shared" si="49"/>
        <v>5807.4541825186307</v>
      </c>
      <c r="AX13" s="12">
        <f t="shared" si="49"/>
        <v>5981.6778079941905</v>
      </c>
      <c r="AY13" s="12">
        <f t="shared" si="49"/>
        <v>6161.1281422340162</v>
      </c>
    </row>
    <row r="14" spans="1:51" x14ac:dyDescent="0.15">
      <c r="B14" s="2" t="s">
        <v>17</v>
      </c>
      <c r="H14" s="10">
        <v>4500</v>
      </c>
      <c r="I14" s="10">
        <v>5400</v>
      </c>
      <c r="J14" s="10">
        <v>6300</v>
      </c>
      <c r="K14" s="10">
        <v>7200</v>
      </c>
      <c r="L14" s="24">
        <v>8100</v>
      </c>
      <c r="M14" s="12">
        <f>M35*M6</f>
        <v>3005.6400000000003</v>
      </c>
      <c r="N14" s="12">
        <f t="shared" ref="N14:AY14" si="50">N35*N6</f>
        <v>3095.8092000000006</v>
      </c>
      <c r="O14" s="12">
        <f t="shared" si="50"/>
        <v>3188.6834760000006</v>
      </c>
      <c r="P14" s="12">
        <f t="shared" si="50"/>
        <v>3284.3439802800003</v>
      </c>
      <c r="Q14" s="12">
        <f t="shared" si="50"/>
        <v>3382.8742996884002</v>
      </c>
      <c r="R14" s="12">
        <f t="shared" si="50"/>
        <v>3484.3605286790525</v>
      </c>
      <c r="S14" s="12">
        <f t="shared" si="50"/>
        <v>3588.8913445394246</v>
      </c>
      <c r="T14" s="12">
        <f t="shared" si="50"/>
        <v>3696.5580848756072</v>
      </c>
      <c r="U14" s="12">
        <f t="shared" si="50"/>
        <v>3807.4548274218755</v>
      </c>
      <c r="V14" s="12">
        <f t="shared" si="50"/>
        <v>3921.6784722445318</v>
      </c>
      <c r="W14" s="12">
        <f t="shared" si="50"/>
        <v>4039.3288264118673</v>
      </c>
      <c r="X14" s="12">
        <f t="shared" si="50"/>
        <v>4160.5086912042234</v>
      </c>
      <c r="Y14" s="12">
        <f t="shared" si="50"/>
        <v>4285.3239519403505</v>
      </c>
      <c r="Z14" s="12">
        <f t="shared" si="50"/>
        <v>4413.8836704985615</v>
      </c>
      <c r="AA14" s="12">
        <f t="shared" si="50"/>
        <v>4546.300180613518</v>
      </c>
      <c r="AB14" s="12">
        <f t="shared" si="50"/>
        <v>4682.6891860319238</v>
      </c>
      <c r="AC14" s="12">
        <f t="shared" si="50"/>
        <v>4823.1698616128815</v>
      </c>
      <c r="AD14" s="12">
        <f t="shared" si="50"/>
        <v>4967.8649574612673</v>
      </c>
      <c r="AE14" s="12">
        <f t="shared" si="50"/>
        <v>5116.9009061851057</v>
      </c>
      <c r="AF14" s="12">
        <f t="shared" si="50"/>
        <v>5270.4079333706586</v>
      </c>
      <c r="AG14" s="12">
        <f t="shared" si="50"/>
        <v>5428.5201713717788</v>
      </c>
      <c r="AH14" s="12">
        <f t="shared" si="50"/>
        <v>5591.3757765129321</v>
      </c>
      <c r="AI14" s="12">
        <f t="shared" si="50"/>
        <v>5759.1170498083202</v>
      </c>
      <c r="AJ14" s="12">
        <f t="shared" si="50"/>
        <v>5931.8905613025699</v>
      </c>
      <c r="AK14" s="12">
        <f t="shared" si="50"/>
        <v>6109.8472781416467</v>
      </c>
      <c r="AL14" s="12">
        <f t="shared" si="50"/>
        <v>6293.1426964858965</v>
      </c>
      <c r="AM14" s="12">
        <f t="shared" si="50"/>
        <v>6481.9369773804729</v>
      </c>
      <c r="AN14" s="12">
        <f t="shared" si="50"/>
        <v>6676.3950867018866</v>
      </c>
      <c r="AO14" s="12">
        <f t="shared" si="50"/>
        <v>6876.6869393029438</v>
      </c>
      <c r="AP14" s="12">
        <f t="shared" si="50"/>
        <v>7082.9875474820328</v>
      </c>
      <c r="AQ14" s="12">
        <f t="shared" si="50"/>
        <v>7295.4771739064936</v>
      </c>
      <c r="AR14" s="12">
        <f t="shared" si="50"/>
        <v>7514.3414891236889</v>
      </c>
      <c r="AS14" s="12">
        <f t="shared" si="50"/>
        <v>7739.7717337973991</v>
      </c>
      <c r="AT14" s="12">
        <f t="shared" si="50"/>
        <v>7971.9648858113214</v>
      </c>
      <c r="AU14" s="12">
        <f t="shared" si="50"/>
        <v>8211.1238323856614</v>
      </c>
      <c r="AV14" s="12">
        <f t="shared" si="50"/>
        <v>8457.4575473572313</v>
      </c>
      <c r="AW14" s="12">
        <f t="shared" si="50"/>
        <v>8711.1812737779474</v>
      </c>
      <c r="AX14" s="12">
        <f t="shared" si="50"/>
        <v>8972.5167119912858</v>
      </c>
      <c r="AY14" s="12">
        <f t="shared" si="50"/>
        <v>9241.6922133510252</v>
      </c>
    </row>
    <row r="15" spans="1:51" x14ac:dyDescent="0.15">
      <c r="B15" s="2" t="s">
        <v>18</v>
      </c>
      <c r="H15" s="10">
        <f>100*12</f>
        <v>1200</v>
      </c>
      <c r="I15" s="10">
        <f t="shared" ref="I15:L15" si="51">100*12</f>
        <v>1200</v>
      </c>
      <c r="J15" s="10">
        <f t="shared" si="51"/>
        <v>1200</v>
      </c>
      <c r="K15" s="10">
        <f t="shared" si="51"/>
        <v>1200</v>
      </c>
      <c r="L15" s="24">
        <f t="shared" si="51"/>
        <v>1200</v>
      </c>
      <c r="M15" s="12">
        <f>L15</f>
        <v>1200</v>
      </c>
      <c r="N15" s="12">
        <f t="shared" ref="N15:AY15" si="52">M15</f>
        <v>1200</v>
      </c>
      <c r="O15" s="12">
        <f t="shared" si="52"/>
        <v>1200</v>
      </c>
      <c r="P15" s="12">
        <f t="shared" si="52"/>
        <v>1200</v>
      </c>
      <c r="Q15" s="12">
        <f t="shared" si="52"/>
        <v>1200</v>
      </c>
      <c r="R15" s="12">
        <f t="shared" si="52"/>
        <v>1200</v>
      </c>
      <c r="S15" s="12">
        <f t="shared" si="52"/>
        <v>1200</v>
      </c>
      <c r="T15" s="12">
        <f t="shared" si="52"/>
        <v>1200</v>
      </c>
      <c r="U15" s="12">
        <f t="shared" si="52"/>
        <v>1200</v>
      </c>
      <c r="V15" s="12">
        <f t="shared" si="52"/>
        <v>1200</v>
      </c>
      <c r="W15" s="12">
        <f t="shared" si="52"/>
        <v>1200</v>
      </c>
      <c r="X15" s="12">
        <f t="shared" si="52"/>
        <v>1200</v>
      </c>
      <c r="Y15" s="12">
        <f t="shared" si="52"/>
        <v>1200</v>
      </c>
      <c r="Z15" s="12">
        <f t="shared" si="52"/>
        <v>1200</v>
      </c>
      <c r="AA15" s="12">
        <f t="shared" si="52"/>
        <v>1200</v>
      </c>
      <c r="AB15" s="12">
        <f t="shared" si="52"/>
        <v>1200</v>
      </c>
      <c r="AC15" s="12">
        <f t="shared" si="52"/>
        <v>1200</v>
      </c>
      <c r="AD15" s="12">
        <f t="shared" si="52"/>
        <v>1200</v>
      </c>
      <c r="AE15" s="12">
        <f t="shared" si="52"/>
        <v>1200</v>
      </c>
      <c r="AF15" s="12">
        <f t="shared" si="52"/>
        <v>1200</v>
      </c>
      <c r="AG15" s="12">
        <f t="shared" si="52"/>
        <v>1200</v>
      </c>
      <c r="AH15" s="12">
        <f t="shared" si="52"/>
        <v>1200</v>
      </c>
      <c r="AI15" s="12">
        <f t="shared" si="52"/>
        <v>1200</v>
      </c>
      <c r="AJ15" s="12">
        <f t="shared" si="52"/>
        <v>1200</v>
      </c>
      <c r="AK15" s="12">
        <f t="shared" si="52"/>
        <v>1200</v>
      </c>
      <c r="AL15" s="12">
        <f t="shared" si="52"/>
        <v>1200</v>
      </c>
      <c r="AM15" s="12">
        <f t="shared" si="52"/>
        <v>1200</v>
      </c>
      <c r="AN15" s="12">
        <f t="shared" si="52"/>
        <v>1200</v>
      </c>
      <c r="AO15" s="12">
        <f t="shared" si="52"/>
        <v>1200</v>
      </c>
      <c r="AP15" s="12">
        <f t="shared" si="52"/>
        <v>1200</v>
      </c>
      <c r="AQ15" s="12">
        <f t="shared" si="52"/>
        <v>1200</v>
      </c>
      <c r="AR15" s="12">
        <f t="shared" si="52"/>
        <v>1200</v>
      </c>
      <c r="AS15" s="12">
        <f t="shared" si="52"/>
        <v>1200</v>
      </c>
      <c r="AT15" s="12">
        <f t="shared" si="52"/>
        <v>1200</v>
      </c>
      <c r="AU15" s="12">
        <f t="shared" si="52"/>
        <v>1200</v>
      </c>
      <c r="AV15" s="12">
        <f t="shared" si="52"/>
        <v>1200</v>
      </c>
      <c r="AW15" s="12">
        <f t="shared" si="52"/>
        <v>1200</v>
      </c>
      <c r="AX15" s="12">
        <f t="shared" si="52"/>
        <v>1200</v>
      </c>
      <c r="AY15" s="12">
        <f t="shared" si="52"/>
        <v>1200</v>
      </c>
    </row>
    <row r="16" spans="1:51" x14ac:dyDescent="0.15">
      <c r="B16" s="2" t="s">
        <v>6</v>
      </c>
      <c r="H16" s="10">
        <v>6000</v>
      </c>
      <c r="I16" s="10">
        <v>7200</v>
      </c>
      <c r="J16" s="10">
        <v>8400</v>
      </c>
      <c r="K16" s="10">
        <v>9600</v>
      </c>
      <c r="L16" s="24">
        <v>10800</v>
      </c>
      <c r="M16" s="12">
        <f>M37*M6</f>
        <v>29145.600000000002</v>
      </c>
      <c r="N16" s="12">
        <f t="shared" ref="N16:AY16" si="53">N37*N6</f>
        <v>30019.968000000004</v>
      </c>
      <c r="O16" s="12">
        <f t="shared" si="53"/>
        <v>30920.567040000005</v>
      </c>
      <c r="P16" s="12">
        <f t="shared" si="53"/>
        <v>31848.184051200002</v>
      </c>
      <c r="Q16" s="12">
        <f t="shared" si="53"/>
        <v>32803.629572736005</v>
      </c>
      <c r="R16" s="12">
        <f t="shared" si="53"/>
        <v>33787.738459918088</v>
      </c>
      <c r="S16" s="12">
        <f t="shared" si="53"/>
        <v>34801.370613715633</v>
      </c>
      <c r="T16" s="12">
        <f t="shared" si="53"/>
        <v>35845.411732127097</v>
      </c>
      <c r="U16" s="12">
        <f t="shared" si="53"/>
        <v>36920.77408409091</v>
      </c>
      <c r="V16" s="12">
        <f t="shared" si="53"/>
        <v>38028.397306613639</v>
      </c>
      <c r="W16" s="12">
        <f t="shared" si="53"/>
        <v>39169.249225812047</v>
      </c>
      <c r="X16" s="12">
        <f t="shared" si="53"/>
        <v>40344.326702586412</v>
      </c>
      <c r="Y16" s="12">
        <f t="shared" si="53"/>
        <v>41554.656503664002</v>
      </c>
      <c r="Z16" s="12">
        <f t="shared" si="53"/>
        <v>42801.296198773925</v>
      </c>
      <c r="AA16" s="12">
        <f t="shared" si="53"/>
        <v>44085.33508473714</v>
      </c>
      <c r="AB16" s="12">
        <f t="shared" si="53"/>
        <v>45407.895137279258</v>
      </c>
      <c r="AC16" s="12">
        <f t="shared" si="53"/>
        <v>46770.13199139764</v>
      </c>
      <c r="AD16" s="12">
        <f t="shared" si="53"/>
        <v>48173.235951139563</v>
      </c>
      <c r="AE16" s="12">
        <f t="shared" si="53"/>
        <v>49618.433029673753</v>
      </c>
      <c r="AF16" s="12">
        <f t="shared" si="53"/>
        <v>51106.986020563963</v>
      </c>
      <c r="AG16" s="12">
        <f t="shared" si="53"/>
        <v>52640.195601180887</v>
      </c>
      <c r="AH16" s="12">
        <f t="shared" si="53"/>
        <v>54219.401469216311</v>
      </c>
      <c r="AI16" s="12">
        <f t="shared" si="53"/>
        <v>55845.983513292798</v>
      </c>
      <c r="AJ16" s="12">
        <f t="shared" si="53"/>
        <v>57521.363018691591</v>
      </c>
      <c r="AK16" s="12">
        <f t="shared" si="53"/>
        <v>59247.003909252337</v>
      </c>
      <c r="AL16" s="12">
        <f t="shared" si="53"/>
        <v>61024.414026529899</v>
      </c>
      <c r="AM16" s="12">
        <f t="shared" si="53"/>
        <v>62855.146447325795</v>
      </c>
      <c r="AN16" s="12">
        <f t="shared" si="53"/>
        <v>64740.800840745571</v>
      </c>
      <c r="AO16" s="12">
        <f t="shared" si="53"/>
        <v>66683.024865967935</v>
      </c>
      <c r="AP16" s="12">
        <f t="shared" si="53"/>
        <v>68683.51561194699</v>
      </c>
      <c r="AQ16" s="12">
        <f t="shared" si="53"/>
        <v>70744.021080305392</v>
      </c>
      <c r="AR16" s="12">
        <f t="shared" si="53"/>
        <v>72866.341712714551</v>
      </c>
      <c r="AS16" s="12">
        <f t="shared" si="53"/>
        <v>75052.331964095996</v>
      </c>
      <c r="AT16" s="12">
        <f t="shared" si="53"/>
        <v>77303.901923018871</v>
      </c>
      <c r="AU16" s="12">
        <f t="shared" si="53"/>
        <v>79623.018980709443</v>
      </c>
      <c r="AV16" s="12">
        <f t="shared" si="53"/>
        <v>82011.709550130719</v>
      </c>
      <c r="AW16" s="12">
        <f t="shared" si="53"/>
        <v>84472.060836634642</v>
      </c>
      <c r="AX16" s="12">
        <f t="shared" si="53"/>
        <v>87006.222661733686</v>
      </c>
      <c r="AY16" s="12">
        <f t="shared" si="53"/>
        <v>89616.409341585691</v>
      </c>
    </row>
    <row r="17" spans="2:51" x14ac:dyDescent="0.15">
      <c r="H17" s="9"/>
      <c r="I17" s="9"/>
      <c r="J17" s="9"/>
      <c r="K17" s="9"/>
      <c r="L17" s="23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2:51" x14ac:dyDescent="0.15">
      <c r="B18" s="3"/>
      <c r="C18" s="3" t="s">
        <v>10</v>
      </c>
      <c r="H18" s="12">
        <f>SUM(H11:H17)</f>
        <v>33550</v>
      </c>
      <c r="I18" s="12">
        <f>SUM(I11:I17)</f>
        <v>35700</v>
      </c>
      <c r="J18" s="12">
        <f>SUM(J11:J17)</f>
        <v>37850</v>
      </c>
      <c r="K18" s="12">
        <f>SUM(K11:K17)</f>
        <v>40000</v>
      </c>
      <c r="L18" s="26">
        <f>SUM(L11:L17)</f>
        <v>42150</v>
      </c>
      <c r="M18" s="12">
        <f t="shared" ref="M18:AY18" si="54">SUM(M11:M17)</f>
        <v>56955</v>
      </c>
      <c r="N18" s="12">
        <f t="shared" si="54"/>
        <v>57979.650000000009</v>
      </c>
      <c r="O18" s="12">
        <f t="shared" si="54"/>
        <v>59035.039500000006</v>
      </c>
      <c r="P18" s="12">
        <f t="shared" si="54"/>
        <v>60122.090685000003</v>
      </c>
      <c r="Q18" s="12">
        <f t="shared" si="54"/>
        <v>61241.75340555</v>
      </c>
      <c r="R18" s="12">
        <f t="shared" si="54"/>
        <v>58795.006007716511</v>
      </c>
      <c r="S18" s="12">
        <f t="shared" si="54"/>
        <v>59982.856187948011</v>
      </c>
      <c r="T18" s="12">
        <f t="shared" si="54"/>
        <v>61206.34187358644</v>
      </c>
      <c r="U18" s="12">
        <f t="shared" si="54"/>
        <v>62466.532129794039</v>
      </c>
      <c r="V18" s="12">
        <f t="shared" si="54"/>
        <v>63764.528093687855</v>
      </c>
      <c r="W18" s="12">
        <f t="shared" si="54"/>
        <v>65101.463936498491</v>
      </c>
      <c r="X18" s="12">
        <f t="shared" si="54"/>
        <v>66478.507854593452</v>
      </c>
      <c r="Y18" s="12">
        <f t="shared" si="54"/>
        <v>67896.863090231258</v>
      </c>
      <c r="Z18" s="12">
        <f t="shared" si="54"/>
        <v>69357.7689829382</v>
      </c>
      <c r="AA18" s="12">
        <f t="shared" si="54"/>
        <v>70862.502052426338</v>
      </c>
      <c r="AB18" s="12">
        <f t="shared" si="54"/>
        <v>72412.37711399913</v>
      </c>
      <c r="AC18" s="12">
        <f t="shared" si="54"/>
        <v>74008.748427419108</v>
      </c>
      <c r="AD18" s="12">
        <f t="shared" si="54"/>
        <v>75653.01088024168</v>
      </c>
      <c r="AE18" s="12">
        <f t="shared" si="54"/>
        <v>77346.601206648935</v>
      </c>
      <c r="AF18" s="12">
        <f t="shared" si="54"/>
        <v>79090.999242848397</v>
      </c>
      <c r="AG18" s="12">
        <f t="shared" si="54"/>
        <v>80887.729220133857</v>
      </c>
      <c r="AH18" s="12">
        <f t="shared" si="54"/>
        <v>82738.361096737863</v>
      </c>
      <c r="AI18" s="12">
        <f t="shared" si="54"/>
        <v>84644.511929639993</v>
      </c>
      <c r="AJ18" s="12">
        <f t="shared" si="54"/>
        <v>86607.847287529206</v>
      </c>
      <c r="AK18" s="12">
        <f t="shared" si="54"/>
        <v>88630.082706155081</v>
      </c>
      <c r="AL18" s="12">
        <f t="shared" si="54"/>
        <v>72712.985187339727</v>
      </c>
      <c r="AM18" s="12">
        <f t="shared" si="54"/>
        <v>74858.374742959917</v>
      </c>
      <c r="AN18" s="12">
        <f t="shared" si="54"/>
        <v>77068.125985248713</v>
      </c>
      <c r="AO18" s="12">
        <f t="shared" si="54"/>
        <v>79344.169764806167</v>
      </c>
      <c r="AP18" s="12">
        <f t="shared" si="54"/>
        <v>81688.494857750382</v>
      </c>
      <c r="AQ18" s="12">
        <f t="shared" si="54"/>
        <v>84103.149703482879</v>
      </c>
      <c r="AR18" s="12">
        <f t="shared" si="54"/>
        <v>86590.244194587372</v>
      </c>
      <c r="AS18" s="12">
        <f t="shared" si="54"/>
        <v>89151.951520424991</v>
      </c>
      <c r="AT18" s="12">
        <f t="shared" si="54"/>
        <v>91790.510066037736</v>
      </c>
      <c r="AU18" s="12">
        <f t="shared" si="54"/>
        <v>94508.225368018873</v>
      </c>
      <c r="AV18" s="12">
        <f t="shared" si="54"/>
        <v>97307.472129059432</v>
      </c>
      <c r="AW18" s="12">
        <f t="shared" si="54"/>
        <v>100190.69629293121</v>
      </c>
      <c r="AX18" s="12">
        <f t="shared" si="54"/>
        <v>103160.41718171917</v>
      </c>
      <c r="AY18" s="12">
        <f t="shared" si="54"/>
        <v>106219.22969717073</v>
      </c>
    </row>
    <row r="19" spans="2:51" x14ac:dyDescent="0.15">
      <c r="H19" s="12"/>
      <c r="I19" s="12"/>
      <c r="J19" s="12"/>
      <c r="K19" s="12"/>
      <c r="L19" s="26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</row>
    <row r="20" spans="2:51" x14ac:dyDescent="0.15">
      <c r="B20" s="1" t="s">
        <v>11</v>
      </c>
      <c r="C20" s="1"/>
      <c r="D20" s="1"/>
      <c r="E20" s="1"/>
      <c r="F20" s="1"/>
      <c r="G20" s="1"/>
      <c r="H20" s="13">
        <f>H8-H18</f>
        <v>16450</v>
      </c>
      <c r="I20" s="13">
        <f>I8-I18</f>
        <v>24300</v>
      </c>
      <c r="J20" s="13">
        <f>J8-J18</f>
        <v>32150</v>
      </c>
      <c r="K20" s="13">
        <f>K8-K18</f>
        <v>40000</v>
      </c>
      <c r="L20" s="27">
        <f>L8-L18</f>
        <v>47850</v>
      </c>
      <c r="M20" s="13">
        <f t="shared" ref="M20:AY20" si="55">M8-M18</f>
        <v>34125</v>
      </c>
      <c r="N20" s="13">
        <f t="shared" si="55"/>
        <v>35832.75</v>
      </c>
      <c r="O20" s="13">
        <f t="shared" si="55"/>
        <v>37591.732500000006</v>
      </c>
      <c r="P20" s="13">
        <f t="shared" si="55"/>
        <v>39403.484475000005</v>
      </c>
      <c r="Q20" s="13">
        <f t="shared" si="55"/>
        <v>41269.589009250005</v>
      </c>
      <c r="R20" s="13">
        <f t="shared" si="55"/>
        <v>46791.676679527503</v>
      </c>
      <c r="S20" s="13">
        <f t="shared" si="55"/>
        <v>48771.426979913333</v>
      </c>
      <c r="T20" s="13">
        <f t="shared" si="55"/>
        <v>50810.569789310743</v>
      </c>
      <c r="U20" s="13">
        <f t="shared" si="55"/>
        <v>52910.88688299006</v>
      </c>
      <c r="V20" s="13">
        <f t="shared" si="55"/>
        <v>55074.213489479764</v>
      </c>
      <c r="W20" s="13">
        <f t="shared" si="55"/>
        <v>57302.439894164156</v>
      </c>
      <c r="X20" s="13">
        <f t="shared" si="55"/>
        <v>59597.513090989072</v>
      </c>
      <c r="Y20" s="13">
        <f t="shared" si="55"/>
        <v>61961.438483718739</v>
      </c>
      <c r="Z20" s="13">
        <f t="shared" si="55"/>
        <v>64396.281638230314</v>
      </c>
      <c r="AA20" s="13">
        <f t="shared" si="55"/>
        <v>66904.170087377221</v>
      </c>
      <c r="AB20" s="13">
        <f t="shared" si="55"/>
        <v>69487.295189998549</v>
      </c>
      <c r="AC20" s="13">
        <f t="shared" si="55"/>
        <v>72147.914045698504</v>
      </c>
      <c r="AD20" s="13">
        <f t="shared" si="55"/>
        <v>74888.351467069457</v>
      </c>
      <c r="AE20" s="13">
        <f t="shared" si="55"/>
        <v>77711.002011081539</v>
      </c>
      <c r="AF20" s="13">
        <f t="shared" si="55"/>
        <v>80618.332071413985</v>
      </c>
      <c r="AG20" s="13">
        <f t="shared" si="55"/>
        <v>83612.882033556409</v>
      </c>
      <c r="AH20" s="13">
        <f t="shared" si="55"/>
        <v>86697.268494563104</v>
      </c>
      <c r="AI20" s="13">
        <f t="shared" si="55"/>
        <v>89874.186549400009</v>
      </c>
      <c r="AJ20" s="13">
        <f t="shared" si="55"/>
        <v>93146.412145882001</v>
      </c>
      <c r="AK20" s="13">
        <f t="shared" si="55"/>
        <v>96516.804510258458</v>
      </c>
      <c r="AL20" s="13">
        <f t="shared" si="55"/>
        <v>117988.30864556621</v>
      </c>
      <c r="AM20" s="13">
        <f t="shared" si="55"/>
        <v>121563.9579049332</v>
      </c>
      <c r="AN20" s="13">
        <f t="shared" si="55"/>
        <v>125246.87664208119</v>
      </c>
      <c r="AO20" s="13">
        <f t="shared" si="55"/>
        <v>129040.28294134364</v>
      </c>
      <c r="AP20" s="13">
        <f t="shared" si="55"/>
        <v>132947.49142958393</v>
      </c>
      <c r="AQ20" s="13">
        <f t="shared" si="55"/>
        <v>136971.91617247148</v>
      </c>
      <c r="AR20" s="13">
        <f t="shared" si="55"/>
        <v>141117.07365764561</v>
      </c>
      <c r="AS20" s="13">
        <f t="shared" si="55"/>
        <v>145386.58586737496</v>
      </c>
      <c r="AT20" s="13">
        <f t="shared" si="55"/>
        <v>149784.18344339624</v>
      </c>
      <c r="AU20" s="13">
        <f t="shared" si="55"/>
        <v>154313.70894669811</v>
      </c>
      <c r="AV20" s="13">
        <f t="shared" si="55"/>
        <v>158979.12021509907</v>
      </c>
      <c r="AW20" s="13">
        <f t="shared" si="55"/>
        <v>163784.49382155202</v>
      </c>
      <c r="AX20" s="13">
        <f t="shared" si="55"/>
        <v>168734.02863619861</v>
      </c>
      <c r="AY20" s="13">
        <f t="shared" si="55"/>
        <v>173832.04949528456</v>
      </c>
    </row>
    <row r="21" spans="2:51" x14ac:dyDescent="0.15">
      <c r="H21" s="12"/>
      <c r="I21" s="12"/>
      <c r="J21" s="12"/>
      <c r="K21" s="12"/>
      <c r="L21" s="26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</row>
    <row r="22" spans="2:51" x14ac:dyDescent="0.15">
      <c r="B22" s="2" t="s">
        <v>0</v>
      </c>
      <c r="H22" s="10">
        <f>28%*H6</f>
        <v>14000.000000000002</v>
      </c>
      <c r="I22" s="10">
        <f t="shared" ref="I22:L22" si="56">28%*I6</f>
        <v>16800</v>
      </c>
      <c r="J22" s="10">
        <f t="shared" si="56"/>
        <v>19600.000000000004</v>
      </c>
      <c r="K22" s="10">
        <f t="shared" si="56"/>
        <v>22400.000000000004</v>
      </c>
      <c r="L22" s="24">
        <f t="shared" si="56"/>
        <v>25200.000000000004</v>
      </c>
      <c r="M22" s="12">
        <f>M6*M38</f>
        <v>10018.799999999999</v>
      </c>
      <c r="N22" s="12">
        <f t="shared" ref="N22:AY22" si="57">N6*N38</f>
        <v>10319.364000000001</v>
      </c>
      <c r="O22" s="12">
        <f t="shared" si="57"/>
        <v>10628.944920000002</v>
      </c>
      <c r="P22" s="12">
        <f t="shared" si="57"/>
        <v>10947.8132676</v>
      </c>
      <c r="Q22" s="12">
        <f t="shared" si="57"/>
        <v>11276.247665628001</v>
      </c>
      <c r="R22" s="12">
        <f t="shared" si="57"/>
        <v>11614.535095596842</v>
      </c>
      <c r="S22" s="12">
        <f t="shared" si="57"/>
        <v>11962.971148464749</v>
      </c>
      <c r="T22" s="12">
        <f t="shared" si="57"/>
        <v>12321.860282918689</v>
      </c>
      <c r="U22" s="12">
        <f t="shared" si="57"/>
        <v>12691.516091406251</v>
      </c>
      <c r="V22" s="12">
        <f t="shared" si="57"/>
        <v>13072.261574148439</v>
      </c>
      <c r="W22" s="12">
        <f t="shared" si="57"/>
        <v>13464.429421372892</v>
      </c>
      <c r="X22" s="12">
        <f t="shared" si="57"/>
        <v>13868.362304014077</v>
      </c>
      <c r="Y22" s="12">
        <f t="shared" si="57"/>
        <v>14284.413173134501</v>
      </c>
      <c r="Z22" s="12">
        <f t="shared" si="57"/>
        <v>14712.945568328536</v>
      </c>
      <c r="AA22" s="12">
        <f t="shared" si="57"/>
        <v>15154.333935378392</v>
      </c>
      <c r="AB22" s="12">
        <f t="shared" si="57"/>
        <v>15608.963953439745</v>
      </c>
      <c r="AC22" s="12">
        <f t="shared" si="57"/>
        <v>16077.232872042938</v>
      </c>
      <c r="AD22" s="12">
        <f t="shared" si="57"/>
        <v>16559.549858204224</v>
      </c>
      <c r="AE22" s="12">
        <f t="shared" si="57"/>
        <v>17056.336353950352</v>
      </c>
      <c r="AF22" s="12">
        <f t="shared" si="57"/>
        <v>17568.026444568863</v>
      </c>
      <c r="AG22" s="12">
        <f t="shared" si="57"/>
        <v>18095.067237905929</v>
      </c>
      <c r="AH22" s="12">
        <f t="shared" si="57"/>
        <v>18637.919255043107</v>
      </c>
      <c r="AI22" s="12">
        <f t="shared" si="57"/>
        <v>19197.056832694401</v>
      </c>
      <c r="AJ22" s="12">
        <f t="shared" si="57"/>
        <v>19772.968537675231</v>
      </c>
      <c r="AK22" s="12">
        <f t="shared" si="57"/>
        <v>20366.157593805488</v>
      </c>
      <c r="AL22" s="12">
        <f t="shared" si="57"/>
        <v>20977.142321619653</v>
      </c>
      <c r="AM22" s="12">
        <f t="shared" si="57"/>
        <v>21606.456591268241</v>
      </c>
      <c r="AN22" s="12">
        <f t="shared" si="57"/>
        <v>22254.650289006287</v>
      </c>
      <c r="AO22" s="12">
        <f t="shared" si="57"/>
        <v>22922.28979767648</v>
      </c>
      <c r="AP22" s="12">
        <f t="shared" si="57"/>
        <v>23609.958491606776</v>
      </c>
      <c r="AQ22" s="12">
        <f t="shared" si="57"/>
        <v>24318.257246354977</v>
      </c>
      <c r="AR22" s="12">
        <f t="shared" si="57"/>
        <v>25047.804963745628</v>
      </c>
      <c r="AS22" s="12">
        <f t="shared" si="57"/>
        <v>25799.239112657997</v>
      </c>
      <c r="AT22" s="12">
        <f t="shared" si="57"/>
        <v>26573.216286037736</v>
      </c>
      <c r="AU22" s="12">
        <f t="shared" si="57"/>
        <v>27370.412774618868</v>
      </c>
      <c r="AV22" s="12">
        <f t="shared" si="57"/>
        <v>28191.525157857435</v>
      </c>
      <c r="AW22" s="12">
        <f t="shared" si="57"/>
        <v>29037.270912593158</v>
      </c>
      <c r="AX22" s="12">
        <f t="shared" si="57"/>
        <v>29908.389039970953</v>
      </c>
      <c r="AY22" s="12">
        <f t="shared" si="57"/>
        <v>30805.640711170083</v>
      </c>
    </row>
    <row r="23" spans="2:51" x14ac:dyDescent="0.15">
      <c r="H23" s="12"/>
      <c r="I23" s="12"/>
      <c r="J23" s="12"/>
      <c r="K23" s="12"/>
      <c r="L23" s="26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</row>
    <row r="24" spans="2:51" x14ac:dyDescent="0.15">
      <c r="B24" s="1" t="s">
        <v>3</v>
      </c>
      <c r="C24" s="1"/>
      <c r="D24" s="1"/>
      <c r="E24" s="1"/>
      <c r="F24" s="1"/>
      <c r="G24" s="1"/>
      <c r="H24" s="39">
        <f>H20-H22</f>
        <v>2449.9999999999982</v>
      </c>
      <c r="I24" s="39">
        <f t="shared" ref="I24:L24" si="58">I20-I22</f>
        <v>7500</v>
      </c>
      <c r="J24" s="39">
        <f t="shared" si="58"/>
        <v>12549.999999999996</v>
      </c>
      <c r="K24" s="39">
        <f t="shared" si="58"/>
        <v>17599.999999999996</v>
      </c>
      <c r="L24" s="38">
        <f t="shared" si="58"/>
        <v>22649.999999999996</v>
      </c>
      <c r="M24" s="13">
        <f>M20-M22</f>
        <v>24106.2</v>
      </c>
      <c r="N24" s="13">
        <f t="shared" ref="N24:AY24" si="59">N20-N22</f>
        <v>25513.385999999999</v>
      </c>
      <c r="O24" s="13">
        <f t="shared" si="59"/>
        <v>26962.787580000004</v>
      </c>
      <c r="P24" s="13">
        <f t="shared" si="59"/>
        <v>28455.671207400002</v>
      </c>
      <c r="Q24" s="13">
        <f t="shared" si="59"/>
        <v>29993.341343622003</v>
      </c>
      <c r="R24" s="13">
        <f t="shared" si="59"/>
        <v>35177.141583930657</v>
      </c>
      <c r="S24" s="13">
        <f t="shared" si="59"/>
        <v>36808.455831448584</v>
      </c>
      <c r="T24" s="13">
        <f t="shared" si="59"/>
        <v>38488.709506392057</v>
      </c>
      <c r="U24" s="13">
        <f t="shared" si="59"/>
        <v>40219.370791583809</v>
      </c>
      <c r="V24" s="13">
        <f t="shared" si="59"/>
        <v>42001.951915331323</v>
      </c>
      <c r="W24" s="13">
        <f t="shared" si="59"/>
        <v>43838.010472791262</v>
      </c>
      <c r="X24" s="13">
        <f t="shared" si="59"/>
        <v>45729.150786974991</v>
      </c>
      <c r="Y24" s="13">
        <f t="shared" si="59"/>
        <v>47677.025310584242</v>
      </c>
      <c r="Z24" s="13">
        <f t="shared" si="59"/>
        <v>49683.336069901779</v>
      </c>
      <c r="AA24" s="13">
        <f t="shared" si="59"/>
        <v>51749.836151998825</v>
      </c>
      <c r="AB24" s="13">
        <f t="shared" si="59"/>
        <v>53878.331236558806</v>
      </c>
      <c r="AC24" s="13">
        <f t="shared" si="59"/>
        <v>56070.681173655568</v>
      </c>
      <c r="AD24" s="13">
        <f t="shared" si="59"/>
        <v>58328.801608865237</v>
      </c>
      <c r="AE24" s="13">
        <f t="shared" si="59"/>
        <v>60654.665657131191</v>
      </c>
      <c r="AF24" s="13">
        <f t="shared" si="59"/>
        <v>63050.305626845118</v>
      </c>
      <c r="AG24" s="13">
        <f t="shared" si="59"/>
        <v>65517.814795650484</v>
      </c>
      <c r="AH24" s="13">
        <f t="shared" si="59"/>
        <v>68059.349239520001</v>
      </c>
      <c r="AI24" s="13">
        <f t="shared" si="59"/>
        <v>70677.129716705604</v>
      </c>
      <c r="AJ24" s="13">
        <f t="shared" si="59"/>
        <v>73373.44360820677</v>
      </c>
      <c r="AK24" s="13">
        <f t="shared" si="59"/>
        <v>76150.64691645297</v>
      </c>
      <c r="AL24" s="13">
        <f t="shared" si="59"/>
        <v>97011.166323946556</v>
      </c>
      <c r="AM24" s="13">
        <f t="shared" si="59"/>
        <v>99957.50131366495</v>
      </c>
      <c r="AN24" s="13">
        <f t="shared" si="59"/>
        <v>102992.2263530749</v>
      </c>
      <c r="AO24" s="13">
        <f t="shared" si="59"/>
        <v>106117.99314366716</v>
      </c>
      <c r="AP24" s="13">
        <f t="shared" si="59"/>
        <v>109337.53293797714</v>
      </c>
      <c r="AQ24" s="13">
        <f t="shared" si="59"/>
        <v>112653.65892611651</v>
      </c>
      <c r="AR24" s="13">
        <f t="shared" si="59"/>
        <v>116069.26869389998</v>
      </c>
      <c r="AS24" s="13">
        <f t="shared" si="59"/>
        <v>119587.34675471697</v>
      </c>
      <c r="AT24" s="13">
        <f t="shared" si="59"/>
        <v>123210.96715735851</v>
      </c>
      <c r="AU24" s="13">
        <f t="shared" si="59"/>
        <v>126943.29617207925</v>
      </c>
      <c r="AV24" s="13">
        <f t="shared" si="59"/>
        <v>130787.59505724163</v>
      </c>
      <c r="AW24" s="13">
        <f t="shared" si="59"/>
        <v>134747.22290895885</v>
      </c>
      <c r="AX24" s="13">
        <f t="shared" si="59"/>
        <v>138825.63959622764</v>
      </c>
      <c r="AY24" s="13">
        <f t="shared" si="59"/>
        <v>143026.40878411446</v>
      </c>
    </row>
    <row r="25" spans="2:51" x14ac:dyDescent="0.15">
      <c r="L25" s="27"/>
    </row>
    <row r="26" spans="2:51" x14ac:dyDescent="0.15">
      <c r="B26" s="2" t="s">
        <v>28</v>
      </c>
      <c r="H26" s="8">
        <f>0+H24</f>
        <v>2449.9999999999982</v>
      </c>
      <c r="I26" s="8">
        <f>H26*(1+1%)+I24</f>
        <v>9974.4999999999982</v>
      </c>
      <c r="J26" s="8">
        <f t="shared" ref="J26:L26" si="60">I26*(1+1%)+J24</f>
        <v>22624.244999999995</v>
      </c>
      <c r="K26" s="8">
        <f t="shared" si="60"/>
        <v>40450.487449999993</v>
      </c>
      <c r="L26" s="33">
        <f t="shared" si="60"/>
        <v>63504.992324499995</v>
      </c>
      <c r="M26" s="8">
        <f>L26*(1+M39)+M24</f>
        <v>95231.791403440002</v>
      </c>
      <c r="N26" s="8">
        <f t="shared" ref="N26:AY26" si="61">M26*(1+N39)+N24</f>
        <v>132172.9923718528</v>
      </c>
      <c r="O26" s="8">
        <f t="shared" si="61"/>
        <v>174996.53903647515</v>
      </c>
      <c r="P26" s="8">
        <f t="shared" si="61"/>
        <v>224451.7949282522</v>
      </c>
      <c r="Q26" s="8">
        <f t="shared" si="61"/>
        <v>281379.3516632645</v>
      </c>
      <c r="R26" s="8">
        <f t="shared" si="61"/>
        <v>350322.01544678694</v>
      </c>
      <c r="S26" s="8">
        <f t="shared" si="61"/>
        <v>429169.11313185003</v>
      </c>
      <c r="T26" s="8">
        <f t="shared" si="61"/>
        <v>519158.11621406412</v>
      </c>
      <c r="U26" s="8">
        <f t="shared" si="61"/>
        <v>621676.46095133561</v>
      </c>
      <c r="V26" s="8">
        <f t="shared" si="61"/>
        <v>738279.58818082721</v>
      </c>
      <c r="W26" s="8">
        <f t="shared" si="61"/>
        <v>870711.14923531783</v>
      </c>
      <c r="X26" s="8">
        <f t="shared" si="61"/>
        <v>1020925.6379305311</v>
      </c>
      <c r="Y26" s="8">
        <f t="shared" si="61"/>
        <v>1191113.7397927793</v>
      </c>
      <c r="Z26" s="8">
        <f t="shared" si="61"/>
        <v>1383730.7246378146</v>
      </c>
      <c r="AA26" s="8">
        <f t="shared" si="61"/>
        <v>1601528.2477463512</v>
      </c>
      <c r="AB26" s="8">
        <f t="shared" si="61"/>
        <v>1847589.9687124721</v>
      </c>
      <c r="AC26" s="8">
        <f t="shared" si="61"/>
        <v>2125371.4461316247</v>
      </c>
      <c r="AD26" s="8">
        <f t="shared" si="61"/>
        <v>2438744.8212762852</v>
      </c>
      <c r="AE26" s="8">
        <f t="shared" si="61"/>
        <v>2792048.8654865706</v>
      </c>
      <c r="AF26" s="8">
        <f t="shared" si="61"/>
        <v>3190145.0349718044</v>
      </c>
      <c r="AG26" s="8">
        <f t="shared" si="61"/>
        <v>3638480.2539640716</v>
      </c>
      <c r="AH26" s="8">
        <f t="shared" si="61"/>
        <v>4143157.2336792806</v>
      </c>
      <c r="AI26" s="8">
        <f t="shared" si="61"/>
        <v>4711013.2314375006</v>
      </c>
      <c r="AJ26" s="8">
        <f t="shared" si="61"/>
        <v>5349708.262818208</v>
      </c>
      <c r="AK26" s="8">
        <f t="shared" si="61"/>
        <v>6067823.9012728464</v>
      </c>
      <c r="AL26" s="8">
        <f t="shared" si="61"/>
        <v>6892973.9357495354</v>
      </c>
      <c r="AM26" s="8">
        <f t="shared" si="61"/>
        <v>7820088.3093531458</v>
      </c>
      <c r="AN26" s="8">
        <f t="shared" si="61"/>
        <v>8861491.1328285988</v>
      </c>
      <c r="AO26" s="8">
        <f t="shared" si="61"/>
        <v>10030988.061911698</v>
      </c>
      <c r="AP26" s="8">
        <f t="shared" si="61"/>
        <v>11344044.162279081</v>
      </c>
      <c r="AQ26" s="8">
        <f t="shared" si="61"/>
        <v>12817983.120678687</v>
      </c>
      <c r="AR26" s="8">
        <f t="shared" si="61"/>
        <v>14472210.36385403</v>
      </c>
      <c r="AS26" s="8">
        <f t="shared" si="61"/>
        <v>16328462.954271233</v>
      </c>
      <c r="AT26" s="8">
        <f t="shared" si="61"/>
        <v>18411089.475941144</v>
      </c>
      <c r="AU26" s="8">
        <f t="shared" si="61"/>
        <v>20747363.509226162</v>
      </c>
      <c r="AV26" s="8">
        <f t="shared" si="61"/>
        <v>23367834.725390546</v>
      </c>
      <c r="AW26" s="8">
        <f t="shared" si="61"/>
        <v>26306722.115346372</v>
      </c>
      <c r="AX26" s="8">
        <f t="shared" si="61"/>
        <v>29602354.408784166</v>
      </c>
      <c r="AY26" s="47">
        <f t="shared" si="61"/>
        <v>33297663.346622381</v>
      </c>
    </row>
    <row r="27" spans="2:51" x14ac:dyDescent="0.15">
      <c r="L27" s="21"/>
    </row>
    <row r="28" spans="2:51" x14ac:dyDescent="0.15">
      <c r="L28" s="21"/>
    </row>
    <row r="29" spans="2:51" x14ac:dyDescent="0.15">
      <c r="B29" s="5" t="s">
        <v>12</v>
      </c>
      <c r="L29" s="21"/>
    </row>
    <row r="30" spans="2:51" x14ac:dyDescent="0.15">
      <c r="L30" s="21"/>
    </row>
    <row r="31" spans="2:51" x14ac:dyDescent="0.15">
      <c r="C31" s="2" t="s">
        <v>19</v>
      </c>
      <c r="H31" s="40"/>
      <c r="I31" s="11">
        <f>I6/H6-1</f>
        <v>0.19999999999999996</v>
      </c>
      <c r="J31" s="11">
        <f t="shared" ref="J31:L31" si="62">J6/I6-1</f>
        <v>0.16666666666666674</v>
      </c>
      <c r="K31" s="11">
        <f t="shared" si="62"/>
        <v>0.14285714285714279</v>
      </c>
      <c r="L31" s="25">
        <f t="shared" si="62"/>
        <v>0.125</v>
      </c>
      <c r="M31" s="44">
        <v>1.2E-2</v>
      </c>
      <c r="N31" s="44">
        <v>0.03</v>
      </c>
      <c r="O31" s="45">
        <f>N31</f>
        <v>0.03</v>
      </c>
      <c r="P31" s="45">
        <f t="shared" ref="P31:AY31" si="63">O31</f>
        <v>0.03</v>
      </c>
      <c r="Q31" s="45">
        <f t="shared" si="63"/>
        <v>0.03</v>
      </c>
      <c r="R31" s="45">
        <f t="shared" si="63"/>
        <v>0.03</v>
      </c>
      <c r="S31" s="45">
        <f t="shared" si="63"/>
        <v>0.03</v>
      </c>
      <c r="T31" s="45">
        <f t="shared" si="63"/>
        <v>0.03</v>
      </c>
      <c r="U31" s="45">
        <f t="shared" si="63"/>
        <v>0.03</v>
      </c>
      <c r="V31" s="45">
        <f t="shared" si="63"/>
        <v>0.03</v>
      </c>
      <c r="W31" s="45">
        <f t="shared" si="63"/>
        <v>0.03</v>
      </c>
      <c r="X31" s="45">
        <f t="shared" si="63"/>
        <v>0.03</v>
      </c>
      <c r="Y31" s="45">
        <f t="shared" si="63"/>
        <v>0.03</v>
      </c>
      <c r="Z31" s="45">
        <f t="shared" si="63"/>
        <v>0.03</v>
      </c>
      <c r="AA31" s="45">
        <f t="shared" si="63"/>
        <v>0.03</v>
      </c>
      <c r="AB31" s="45">
        <f t="shared" si="63"/>
        <v>0.03</v>
      </c>
      <c r="AC31" s="45">
        <f t="shared" si="63"/>
        <v>0.03</v>
      </c>
      <c r="AD31" s="45">
        <f t="shared" si="63"/>
        <v>0.03</v>
      </c>
      <c r="AE31" s="45">
        <f t="shared" si="63"/>
        <v>0.03</v>
      </c>
      <c r="AF31" s="45">
        <f t="shared" si="63"/>
        <v>0.03</v>
      </c>
      <c r="AG31" s="45">
        <f t="shared" si="63"/>
        <v>0.03</v>
      </c>
      <c r="AH31" s="45">
        <f t="shared" si="63"/>
        <v>0.03</v>
      </c>
      <c r="AI31" s="45">
        <f t="shared" si="63"/>
        <v>0.03</v>
      </c>
      <c r="AJ31" s="45">
        <f t="shared" si="63"/>
        <v>0.03</v>
      </c>
      <c r="AK31" s="45">
        <f t="shared" si="63"/>
        <v>0.03</v>
      </c>
      <c r="AL31" s="45">
        <f t="shared" si="63"/>
        <v>0.03</v>
      </c>
      <c r="AM31" s="45">
        <f t="shared" si="63"/>
        <v>0.03</v>
      </c>
      <c r="AN31" s="45">
        <f t="shared" si="63"/>
        <v>0.03</v>
      </c>
      <c r="AO31" s="45">
        <f t="shared" si="63"/>
        <v>0.03</v>
      </c>
      <c r="AP31" s="45">
        <f t="shared" si="63"/>
        <v>0.03</v>
      </c>
      <c r="AQ31" s="45">
        <f t="shared" si="63"/>
        <v>0.03</v>
      </c>
      <c r="AR31" s="45">
        <f t="shared" si="63"/>
        <v>0.03</v>
      </c>
      <c r="AS31" s="45">
        <f t="shared" si="63"/>
        <v>0.03</v>
      </c>
      <c r="AT31" s="45">
        <f t="shared" si="63"/>
        <v>0.03</v>
      </c>
      <c r="AU31" s="45">
        <f t="shared" si="63"/>
        <v>0.03</v>
      </c>
      <c r="AV31" s="45">
        <f t="shared" si="63"/>
        <v>0.03</v>
      </c>
      <c r="AW31" s="45">
        <f t="shared" si="63"/>
        <v>0.03</v>
      </c>
      <c r="AX31" s="45">
        <f t="shared" si="63"/>
        <v>0.03</v>
      </c>
      <c r="AY31" s="45">
        <f t="shared" si="63"/>
        <v>0.03</v>
      </c>
    </row>
    <row r="32" spans="2:51" x14ac:dyDescent="0.15">
      <c r="C32" s="2" t="s">
        <v>21</v>
      </c>
      <c r="H32" s="11">
        <f>H11/H$6</f>
        <v>0.36</v>
      </c>
      <c r="I32" s="11">
        <f t="shared" ref="I32:L32" si="64">I11/I6</f>
        <v>0.3</v>
      </c>
      <c r="J32" s="11">
        <f t="shared" si="64"/>
        <v>0.25714285714285712</v>
      </c>
      <c r="K32" s="11">
        <f t="shared" si="64"/>
        <v>0.22500000000000001</v>
      </c>
      <c r="L32" s="25">
        <f t="shared" si="64"/>
        <v>0.2</v>
      </c>
      <c r="M32" s="2" t="s">
        <v>29</v>
      </c>
    </row>
    <row r="33" spans="3:51" x14ac:dyDescent="0.15">
      <c r="C33" s="2" t="s">
        <v>20</v>
      </c>
      <c r="H33" s="11">
        <f>H12/H$6</f>
        <v>7.1999999999999995E-2</v>
      </c>
      <c r="I33" s="11">
        <f t="shared" ref="I33:L33" si="65">I12/I$6</f>
        <v>0.06</v>
      </c>
      <c r="J33" s="11">
        <f t="shared" si="65"/>
        <v>5.1428571428571428E-2</v>
      </c>
      <c r="K33" s="11">
        <f t="shared" si="65"/>
        <v>4.4999999999999998E-2</v>
      </c>
      <c r="L33" s="25">
        <f t="shared" si="65"/>
        <v>0.04</v>
      </c>
      <c r="M33" s="2" t="s">
        <v>29</v>
      </c>
    </row>
    <row r="34" spans="3:51" x14ac:dyDescent="0.15">
      <c r="C34" s="2" t="s">
        <v>22</v>
      </c>
      <c r="H34" s="11">
        <f t="shared" ref="H34:L34" si="66">H13/H$6</f>
        <v>5.0000000000000001E-3</v>
      </c>
      <c r="I34" s="11">
        <f t="shared" si="66"/>
        <v>5.0000000000000001E-3</v>
      </c>
      <c r="J34" s="11">
        <f t="shared" si="66"/>
        <v>5.0000000000000001E-3</v>
      </c>
      <c r="K34" s="11">
        <f t="shared" si="66"/>
        <v>5.0000000000000001E-3</v>
      </c>
      <c r="L34" s="25">
        <f t="shared" si="66"/>
        <v>5.0000000000000001E-3</v>
      </c>
      <c r="M34" s="44">
        <v>2.1999999999999999E-2</v>
      </c>
      <c r="N34" s="42">
        <f>M34</f>
        <v>2.1999999999999999E-2</v>
      </c>
      <c r="O34" s="42">
        <f t="shared" ref="O34:AY34" si="67">N34</f>
        <v>2.1999999999999999E-2</v>
      </c>
      <c r="P34" s="42">
        <f t="shared" si="67"/>
        <v>2.1999999999999999E-2</v>
      </c>
      <c r="Q34" s="42">
        <f t="shared" si="67"/>
        <v>2.1999999999999999E-2</v>
      </c>
      <c r="R34" s="42">
        <f t="shared" si="67"/>
        <v>2.1999999999999999E-2</v>
      </c>
      <c r="S34" s="42">
        <f t="shared" si="67"/>
        <v>2.1999999999999999E-2</v>
      </c>
      <c r="T34" s="42">
        <f t="shared" si="67"/>
        <v>2.1999999999999999E-2</v>
      </c>
      <c r="U34" s="42">
        <f t="shared" si="67"/>
        <v>2.1999999999999999E-2</v>
      </c>
      <c r="V34" s="42">
        <f t="shared" si="67"/>
        <v>2.1999999999999999E-2</v>
      </c>
      <c r="W34" s="42">
        <f t="shared" si="67"/>
        <v>2.1999999999999999E-2</v>
      </c>
      <c r="X34" s="42">
        <f t="shared" si="67"/>
        <v>2.1999999999999999E-2</v>
      </c>
      <c r="Y34" s="42">
        <f t="shared" si="67"/>
        <v>2.1999999999999999E-2</v>
      </c>
      <c r="Z34" s="42">
        <f t="shared" si="67"/>
        <v>2.1999999999999999E-2</v>
      </c>
      <c r="AA34" s="42">
        <f t="shared" si="67"/>
        <v>2.1999999999999999E-2</v>
      </c>
      <c r="AB34" s="42">
        <f t="shared" si="67"/>
        <v>2.1999999999999999E-2</v>
      </c>
      <c r="AC34" s="42">
        <f t="shared" si="67"/>
        <v>2.1999999999999999E-2</v>
      </c>
      <c r="AD34" s="42">
        <f t="shared" si="67"/>
        <v>2.1999999999999999E-2</v>
      </c>
      <c r="AE34" s="42">
        <f t="shared" si="67"/>
        <v>2.1999999999999999E-2</v>
      </c>
      <c r="AF34" s="42">
        <f t="shared" si="67"/>
        <v>2.1999999999999999E-2</v>
      </c>
      <c r="AG34" s="42">
        <f t="shared" si="67"/>
        <v>2.1999999999999999E-2</v>
      </c>
      <c r="AH34" s="42">
        <f t="shared" si="67"/>
        <v>2.1999999999999999E-2</v>
      </c>
      <c r="AI34" s="42">
        <f t="shared" si="67"/>
        <v>2.1999999999999999E-2</v>
      </c>
      <c r="AJ34" s="42">
        <f t="shared" si="67"/>
        <v>2.1999999999999999E-2</v>
      </c>
      <c r="AK34" s="42">
        <f t="shared" si="67"/>
        <v>2.1999999999999999E-2</v>
      </c>
      <c r="AL34" s="42">
        <f t="shared" si="67"/>
        <v>2.1999999999999999E-2</v>
      </c>
      <c r="AM34" s="42">
        <f t="shared" si="67"/>
        <v>2.1999999999999999E-2</v>
      </c>
      <c r="AN34" s="42">
        <f t="shared" si="67"/>
        <v>2.1999999999999999E-2</v>
      </c>
      <c r="AO34" s="42">
        <f t="shared" si="67"/>
        <v>2.1999999999999999E-2</v>
      </c>
      <c r="AP34" s="42">
        <f t="shared" si="67"/>
        <v>2.1999999999999999E-2</v>
      </c>
      <c r="AQ34" s="42">
        <f t="shared" si="67"/>
        <v>2.1999999999999999E-2</v>
      </c>
      <c r="AR34" s="42">
        <f t="shared" si="67"/>
        <v>2.1999999999999999E-2</v>
      </c>
      <c r="AS34" s="42">
        <f t="shared" si="67"/>
        <v>2.1999999999999999E-2</v>
      </c>
      <c r="AT34" s="42">
        <f t="shared" si="67"/>
        <v>2.1999999999999999E-2</v>
      </c>
      <c r="AU34" s="42">
        <f t="shared" si="67"/>
        <v>2.1999999999999999E-2</v>
      </c>
      <c r="AV34" s="42">
        <f t="shared" si="67"/>
        <v>2.1999999999999999E-2</v>
      </c>
      <c r="AW34" s="42">
        <f t="shared" si="67"/>
        <v>2.1999999999999999E-2</v>
      </c>
      <c r="AX34" s="42">
        <f t="shared" si="67"/>
        <v>2.1999999999999999E-2</v>
      </c>
      <c r="AY34" s="42">
        <f t="shared" si="67"/>
        <v>2.1999999999999999E-2</v>
      </c>
    </row>
    <row r="35" spans="3:51" x14ac:dyDescent="0.15">
      <c r="C35" s="2" t="s">
        <v>23</v>
      </c>
      <c r="H35" s="11">
        <f t="shared" ref="H35:L35" si="68">H14/H$6</f>
        <v>0.09</v>
      </c>
      <c r="I35" s="11">
        <f t="shared" si="68"/>
        <v>0.09</v>
      </c>
      <c r="J35" s="11">
        <f t="shared" si="68"/>
        <v>0.09</v>
      </c>
      <c r="K35" s="11">
        <f t="shared" si="68"/>
        <v>0.09</v>
      </c>
      <c r="L35" s="25">
        <f t="shared" si="68"/>
        <v>0.09</v>
      </c>
      <c r="M35" s="44">
        <v>3.3000000000000002E-2</v>
      </c>
      <c r="N35" s="42">
        <f>M35</f>
        <v>3.3000000000000002E-2</v>
      </c>
      <c r="O35" s="42">
        <f t="shared" ref="O35:AY35" si="69">N35</f>
        <v>3.3000000000000002E-2</v>
      </c>
      <c r="P35" s="42">
        <f t="shared" si="69"/>
        <v>3.3000000000000002E-2</v>
      </c>
      <c r="Q35" s="42">
        <f t="shared" si="69"/>
        <v>3.3000000000000002E-2</v>
      </c>
      <c r="R35" s="42">
        <f t="shared" si="69"/>
        <v>3.3000000000000002E-2</v>
      </c>
      <c r="S35" s="42">
        <f t="shared" si="69"/>
        <v>3.3000000000000002E-2</v>
      </c>
      <c r="T35" s="42">
        <f t="shared" si="69"/>
        <v>3.3000000000000002E-2</v>
      </c>
      <c r="U35" s="42">
        <f t="shared" si="69"/>
        <v>3.3000000000000002E-2</v>
      </c>
      <c r="V35" s="42">
        <f t="shared" si="69"/>
        <v>3.3000000000000002E-2</v>
      </c>
      <c r="W35" s="42">
        <f t="shared" si="69"/>
        <v>3.3000000000000002E-2</v>
      </c>
      <c r="X35" s="42">
        <f t="shared" si="69"/>
        <v>3.3000000000000002E-2</v>
      </c>
      <c r="Y35" s="42">
        <f t="shared" si="69"/>
        <v>3.3000000000000002E-2</v>
      </c>
      <c r="Z35" s="42">
        <f t="shared" si="69"/>
        <v>3.3000000000000002E-2</v>
      </c>
      <c r="AA35" s="42">
        <f t="shared" si="69"/>
        <v>3.3000000000000002E-2</v>
      </c>
      <c r="AB35" s="42">
        <f t="shared" si="69"/>
        <v>3.3000000000000002E-2</v>
      </c>
      <c r="AC35" s="42">
        <f t="shared" si="69"/>
        <v>3.3000000000000002E-2</v>
      </c>
      <c r="AD35" s="42">
        <f t="shared" si="69"/>
        <v>3.3000000000000002E-2</v>
      </c>
      <c r="AE35" s="42">
        <f t="shared" si="69"/>
        <v>3.3000000000000002E-2</v>
      </c>
      <c r="AF35" s="42">
        <f t="shared" si="69"/>
        <v>3.3000000000000002E-2</v>
      </c>
      <c r="AG35" s="42">
        <f t="shared" si="69"/>
        <v>3.3000000000000002E-2</v>
      </c>
      <c r="AH35" s="42">
        <f t="shared" si="69"/>
        <v>3.3000000000000002E-2</v>
      </c>
      <c r="AI35" s="42">
        <f t="shared" si="69"/>
        <v>3.3000000000000002E-2</v>
      </c>
      <c r="AJ35" s="42">
        <f t="shared" si="69"/>
        <v>3.3000000000000002E-2</v>
      </c>
      <c r="AK35" s="42">
        <f t="shared" si="69"/>
        <v>3.3000000000000002E-2</v>
      </c>
      <c r="AL35" s="42">
        <f t="shared" si="69"/>
        <v>3.3000000000000002E-2</v>
      </c>
      <c r="AM35" s="42">
        <f t="shared" si="69"/>
        <v>3.3000000000000002E-2</v>
      </c>
      <c r="AN35" s="42">
        <f t="shared" si="69"/>
        <v>3.3000000000000002E-2</v>
      </c>
      <c r="AO35" s="42">
        <f t="shared" si="69"/>
        <v>3.3000000000000002E-2</v>
      </c>
      <c r="AP35" s="42">
        <f t="shared" si="69"/>
        <v>3.3000000000000002E-2</v>
      </c>
      <c r="AQ35" s="42">
        <f t="shared" si="69"/>
        <v>3.3000000000000002E-2</v>
      </c>
      <c r="AR35" s="42">
        <f t="shared" si="69"/>
        <v>3.3000000000000002E-2</v>
      </c>
      <c r="AS35" s="42">
        <f t="shared" si="69"/>
        <v>3.3000000000000002E-2</v>
      </c>
      <c r="AT35" s="42">
        <f t="shared" si="69"/>
        <v>3.3000000000000002E-2</v>
      </c>
      <c r="AU35" s="42">
        <f t="shared" si="69"/>
        <v>3.3000000000000002E-2</v>
      </c>
      <c r="AV35" s="42">
        <f t="shared" si="69"/>
        <v>3.3000000000000002E-2</v>
      </c>
      <c r="AW35" s="42">
        <f t="shared" si="69"/>
        <v>3.3000000000000002E-2</v>
      </c>
      <c r="AX35" s="42">
        <f t="shared" si="69"/>
        <v>3.3000000000000002E-2</v>
      </c>
      <c r="AY35" s="42">
        <f t="shared" si="69"/>
        <v>3.3000000000000002E-2</v>
      </c>
    </row>
    <row r="36" spans="3:51" x14ac:dyDescent="0.15">
      <c r="C36" s="2" t="s">
        <v>24</v>
      </c>
      <c r="H36" s="11">
        <f t="shared" ref="H36:L36" si="70">H15/H$6</f>
        <v>2.4E-2</v>
      </c>
      <c r="I36" s="11">
        <f t="shared" si="70"/>
        <v>0.02</v>
      </c>
      <c r="J36" s="11">
        <f t="shared" si="70"/>
        <v>1.7142857142857144E-2</v>
      </c>
      <c r="K36" s="11">
        <f t="shared" si="70"/>
        <v>1.4999999999999999E-2</v>
      </c>
      <c r="L36" s="25">
        <f t="shared" si="70"/>
        <v>1.3333333333333334E-2</v>
      </c>
      <c r="M36" s="2" t="s">
        <v>29</v>
      </c>
    </row>
    <row r="37" spans="3:51" x14ac:dyDescent="0.15">
      <c r="C37" s="2" t="s">
        <v>25</v>
      </c>
      <c r="H37" s="11">
        <f t="shared" ref="H37:L37" si="71">H16/H$6</f>
        <v>0.12</v>
      </c>
      <c r="I37" s="11">
        <f t="shared" si="71"/>
        <v>0.12</v>
      </c>
      <c r="J37" s="11">
        <f t="shared" si="71"/>
        <v>0.12</v>
      </c>
      <c r="K37" s="11">
        <f t="shared" si="71"/>
        <v>0.12</v>
      </c>
      <c r="L37" s="25">
        <f t="shared" si="71"/>
        <v>0.12</v>
      </c>
      <c r="M37" s="44">
        <v>0.32</v>
      </c>
      <c r="N37" s="42">
        <f>M37</f>
        <v>0.32</v>
      </c>
      <c r="O37" s="42">
        <f t="shared" ref="O37:AY37" si="72">N37</f>
        <v>0.32</v>
      </c>
      <c r="P37" s="42">
        <f t="shared" si="72"/>
        <v>0.32</v>
      </c>
      <c r="Q37" s="42">
        <f t="shared" si="72"/>
        <v>0.32</v>
      </c>
      <c r="R37" s="42">
        <f t="shared" si="72"/>
        <v>0.32</v>
      </c>
      <c r="S37" s="42">
        <f t="shared" si="72"/>
        <v>0.32</v>
      </c>
      <c r="T37" s="42">
        <f t="shared" si="72"/>
        <v>0.32</v>
      </c>
      <c r="U37" s="42">
        <f t="shared" si="72"/>
        <v>0.32</v>
      </c>
      <c r="V37" s="42">
        <f t="shared" si="72"/>
        <v>0.32</v>
      </c>
      <c r="W37" s="42">
        <f t="shared" si="72"/>
        <v>0.32</v>
      </c>
      <c r="X37" s="42">
        <f t="shared" si="72"/>
        <v>0.32</v>
      </c>
      <c r="Y37" s="42">
        <f t="shared" si="72"/>
        <v>0.32</v>
      </c>
      <c r="Z37" s="42">
        <f t="shared" si="72"/>
        <v>0.32</v>
      </c>
      <c r="AA37" s="42">
        <f t="shared" si="72"/>
        <v>0.32</v>
      </c>
      <c r="AB37" s="42">
        <f t="shared" si="72"/>
        <v>0.32</v>
      </c>
      <c r="AC37" s="42">
        <f t="shared" si="72"/>
        <v>0.32</v>
      </c>
      <c r="AD37" s="42">
        <f t="shared" si="72"/>
        <v>0.32</v>
      </c>
      <c r="AE37" s="42">
        <f t="shared" si="72"/>
        <v>0.32</v>
      </c>
      <c r="AF37" s="42">
        <f t="shared" si="72"/>
        <v>0.32</v>
      </c>
      <c r="AG37" s="42">
        <f t="shared" si="72"/>
        <v>0.32</v>
      </c>
      <c r="AH37" s="42">
        <f t="shared" si="72"/>
        <v>0.32</v>
      </c>
      <c r="AI37" s="42">
        <f t="shared" si="72"/>
        <v>0.32</v>
      </c>
      <c r="AJ37" s="42">
        <f t="shared" si="72"/>
        <v>0.32</v>
      </c>
      <c r="AK37" s="42">
        <f t="shared" si="72"/>
        <v>0.32</v>
      </c>
      <c r="AL37" s="42">
        <f t="shared" si="72"/>
        <v>0.32</v>
      </c>
      <c r="AM37" s="42">
        <f t="shared" si="72"/>
        <v>0.32</v>
      </c>
      <c r="AN37" s="42">
        <f t="shared" si="72"/>
        <v>0.32</v>
      </c>
      <c r="AO37" s="42">
        <f t="shared" si="72"/>
        <v>0.32</v>
      </c>
      <c r="AP37" s="42">
        <f t="shared" si="72"/>
        <v>0.32</v>
      </c>
      <c r="AQ37" s="42">
        <f t="shared" si="72"/>
        <v>0.32</v>
      </c>
      <c r="AR37" s="42">
        <f t="shared" si="72"/>
        <v>0.32</v>
      </c>
      <c r="AS37" s="42">
        <f t="shared" si="72"/>
        <v>0.32</v>
      </c>
      <c r="AT37" s="42">
        <f t="shared" si="72"/>
        <v>0.32</v>
      </c>
      <c r="AU37" s="42">
        <f t="shared" si="72"/>
        <v>0.32</v>
      </c>
      <c r="AV37" s="42">
        <f t="shared" si="72"/>
        <v>0.32</v>
      </c>
      <c r="AW37" s="42">
        <f t="shared" si="72"/>
        <v>0.32</v>
      </c>
      <c r="AX37" s="42">
        <f t="shared" si="72"/>
        <v>0.32</v>
      </c>
      <c r="AY37" s="42">
        <f t="shared" si="72"/>
        <v>0.32</v>
      </c>
    </row>
    <row r="38" spans="3:51" x14ac:dyDescent="0.15">
      <c r="C38" s="2" t="s">
        <v>27</v>
      </c>
      <c r="H38" s="11">
        <f>H22/H20</f>
        <v>0.85106382978723416</v>
      </c>
      <c r="I38" s="11">
        <f t="shared" ref="I38:L38" si="73">I22/I6</f>
        <v>0.28000000000000003</v>
      </c>
      <c r="J38" s="11">
        <f t="shared" si="73"/>
        <v>0.28000000000000003</v>
      </c>
      <c r="K38" s="11">
        <f t="shared" si="73"/>
        <v>0.28000000000000003</v>
      </c>
      <c r="L38" s="25">
        <f t="shared" si="73"/>
        <v>0.28000000000000003</v>
      </c>
      <c r="M38" s="43">
        <v>0.11</v>
      </c>
      <c r="N38" s="41">
        <f>M38</f>
        <v>0.11</v>
      </c>
      <c r="O38" s="41">
        <f t="shared" ref="O38:AY38" si="74">N38</f>
        <v>0.11</v>
      </c>
      <c r="P38" s="41">
        <f t="shared" si="74"/>
        <v>0.11</v>
      </c>
      <c r="Q38" s="41">
        <f t="shared" si="74"/>
        <v>0.11</v>
      </c>
      <c r="R38" s="41">
        <f t="shared" si="74"/>
        <v>0.11</v>
      </c>
      <c r="S38" s="41">
        <f t="shared" si="74"/>
        <v>0.11</v>
      </c>
      <c r="T38" s="41">
        <f t="shared" si="74"/>
        <v>0.11</v>
      </c>
      <c r="U38" s="41">
        <f t="shared" si="74"/>
        <v>0.11</v>
      </c>
      <c r="V38" s="41">
        <f t="shared" si="74"/>
        <v>0.11</v>
      </c>
      <c r="W38" s="41">
        <f t="shared" si="74"/>
        <v>0.11</v>
      </c>
      <c r="X38" s="41">
        <f t="shared" si="74"/>
        <v>0.11</v>
      </c>
      <c r="Y38" s="41">
        <f t="shared" si="74"/>
        <v>0.11</v>
      </c>
      <c r="Z38" s="41">
        <f t="shared" si="74"/>
        <v>0.11</v>
      </c>
      <c r="AA38" s="41">
        <f t="shared" si="74"/>
        <v>0.11</v>
      </c>
      <c r="AB38" s="41">
        <f t="shared" si="74"/>
        <v>0.11</v>
      </c>
      <c r="AC38" s="41">
        <f t="shared" si="74"/>
        <v>0.11</v>
      </c>
      <c r="AD38" s="41">
        <f t="shared" si="74"/>
        <v>0.11</v>
      </c>
      <c r="AE38" s="41">
        <f t="shared" si="74"/>
        <v>0.11</v>
      </c>
      <c r="AF38" s="41">
        <f t="shared" si="74"/>
        <v>0.11</v>
      </c>
      <c r="AG38" s="41">
        <f t="shared" si="74"/>
        <v>0.11</v>
      </c>
      <c r="AH38" s="41">
        <f t="shared" si="74"/>
        <v>0.11</v>
      </c>
      <c r="AI38" s="41">
        <f t="shared" si="74"/>
        <v>0.11</v>
      </c>
      <c r="AJ38" s="41">
        <f t="shared" si="74"/>
        <v>0.11</v>
      </c>
      <c r="AK38" s="41">
        <f t="shared" si="74"/>
        <v>0.11</v>
      </c>
      <c r="AL38" s="41">
        <f t="shared" si="74"/>
        <v>0.11</v>
      </c>
      <c r="AM38" s="41">
        <f t="shared" si="74"/>
        <v>0.11</v>
      </c>
      <c r="AN38" s="41">
        <f t="shared" si="74"/>
        <v>0.11</v>
      </c>
      <c r="AO38" s="41">
        <f t="shared" si="74"/>
        <v>0.11</v>
      </c>
      <c r="AP38" s="41">
        <f t="shared" si="74"/>
        <v>0.11</v>
      </c>
      <c r="AQ38" s="41">
        <f t="shared" si="74"/>
        <v>0.11</v>
      </c>
      <c r="AR38" s="41">
        <f t="shared" si="74"/>
        <v>0.11</v>
      </c>
      <c r="AS38" s="41">
        <f t="shared" si="74"/>
        <v>0.11</v>
      </c>
      <c r="AT38" s="41">
        <f t="shared" si="74"/>
        <v>0.11</v>
      </c>
      <c r="AU38" s="41">
        <f t="shared" si="74"/>
        <v>0.11</v>
      </c>
      <c r="AV38" s="41">
        <f t="shared" si="74"/>
        <v>0.11</v>
      </c>
      <c r="AW38" s="41">
        <f t="shared" si="74"/>
        <v>0.11</v>
      </c>
      <c r="AX38" s="41">
        <f t="shared" si="74"/>
        <v>0.11</v>
      </c>
      <c r="AY38" s="41">
        <f t="shared" si="74"/>
        <v>0.11</v>
      </c>
    </row>
    <row r="39" spans="3:51" x14ac:dyDescent="0.15">
      <c r="C39" s="2" t="s">
        <v>26</v>
      </c>
      <c r="H39" s="42">
        <v>0.01</v>
      </c>
      <c r="I39" s="42">
        <v>0.01</v>
      </c>
      <c r="J39" s="42">
        <v>0.01</v>
      </c>
      <c r="K39" s="42">
        <v>0.01</v>
      </c>
      <c r="L39" s="46">
        <v>0.01</v>
      </c>
      <c r="M39" s="43">
        <v>0.12</v>
      </c>
      <c r="N39" s="41">
        <f>M39</f>
        <v>0.12</v>
      </c>
      <c r="O39" s="41">
        <f t="shared" ref="O39:AY39" si="75">N39</f>
        <v>0.12</v>
      </c>
      <c r="P39" s="41">
        <f t="shared" si="75"/>
        <v>0.12</v>
      </c>
      <c r="Q39" s="41">
        <f t="shared" si="75"/>
        <v>0.12</v>
      </c>
      <c r="R39" s="41">
        <f t="shared" si="75"/>
        <v>0.12</v>
      </c>
      <c r="S39" s="41">
        <f t="shared" si="75"/>
        <v>0.12</v>
      </c>
      <c r="T39" s="41">
        <f t="shared" si="75"/>
        <v>0.12</v>
      </c>
      <c r="U39" s="41">
        <f t="shared" si="75"/>
        <v>0.12</v>
      </c>
      <c r="V39" s="41">
        <f t="shared" si="75"/>
        <v>0.12</v>
      </c>
      <c r="W39" s="41">
        <f t="shared" si="75"/>
        <v>0.12</v>
      </c>
      <c r="X39" s="41">
        <f t="shared" si="75"/>
        <v>0.12</v>
      </c>
      <c r="Y39" s="41">
        <f t="shared" si="75"/>
        <v>0.12</v>
      </c>
      <c r="Z39" s="41">
        <f t="shared" si="75"/>
        <v>0.12</v>
      </c>
      <c r="AA39" s="41">
        <f t="shared" si="75"/>
        <v>0.12</v>
      </c>
      <c r="AB39" s="41">
        <f t="shared" si="75"/>
        <v>0.12</v>
      </c>
      <c r="AC39" s="41">
        <f t="shared" si="75"/>
        <v>0.12</v>
      </c>
      <c r="AD39" s="41">
        <f t="shared" si="75"/>
        <v>0.12</v>
      </c>
      <c r="AE39" s="41">
        <f t="shared" si="75"/>
        <v>0.12</v>
      </c>
      <c r="AF39" s="41">
        <f t="shared" si="75"/>
        <v>0.12</v>
      </c>
      <c r="AG39" s="41">
        <f t="shared" si="75"/>
        <v>0.12</v>
      </c>
      <c r="AH39" s="41">
        <f t="shared" si="75"/>
        <v>0.12</v>
      </c>
      <c r="AI39" s="41">
        <f t="shared" si="75"/>
        <v>0.12</v>
      </c>
      <c r="AJ39" s="41">
        <f t="shared" si="75"/>
        <v>0.12</v>
      </c>
      <c r="AK39" s="41">
        <f t="shared" si="75"/>
        <v>0.12</v>
      </c>
      <c r="AL39" s="41">
        <f t="shared" si="75"/>
        <v>0.12</v>
      </c>
      <c r="AM39" s="41">
        <f t="shared" si="75"/>
        <v>0.12</v>
      </c>
      <c r="AN39" s="41">
        <f t="shared" si="75"/>
        <v>0.12</v>
      </c>
      <c r="AO39" s="41">
        <f t="shared" si="75"/>
        <v>0.12</v>
      </c>
      <c r="AP39" s="41">
        <f t="shared" si="75"/>
        <v>0.12</v>
      </c>
      <c r="AQ39" s="41">
        <f t="shared" si="75"/>
        <v>0.12</v>
      </c>
      <c r="AR39" s="41">
        <f t="shared" si="75"/>
        <v>0.12</v>
      </c>
      <c r="AS39" s="41">
        <f t="shared" si="75"/>
        <v>0.12</v>
      </c>
      <c r="AT39" s="41">
        <f t="shared" si="75"/>
        <v>0.12</v>
      </c>
      <c r="AU39" s="41">
        <f t="shared" si="75"/>
        <v>0.12</v>
      </c>
      <c r="AV39" s="41">
        <f t="shared" si="75"/>
        <v>0.12</v>
      </c>
      <c r="AW39" s="41">
        <f t="shared" si="75"/>
        <v>0.12</v>
      </c>
      <c r="AX39" s="41">
        <f t="shared" si="75"/>
        <v>0.12</v>
      </c>
      <c r="AY39" s="41">
        <f t="shared" si="75"/>
        <v>0.12</v>
      </c>
    </row>
    <row r="47" spans="3:51" x14ac:dyDescent="0.15">
      <c r="E47" s="52" t="s">
        <v>35</v>
      </c>
      <c r="F47" s="52" t="s">
        <v>36</v>
      </c>
    </row>
    <row r="48" spans="3:51" x14ac:dyDescent="0.15">
      <c r="E48" s="2">
        <v>2017</v>
      </c>
      <c r="F48" s="2">
        <v>108693.882247745</v>
      </c>
    </row>
    <row r="49" spans="1:6" x14ac:dyDescent="0.15">
      <c r="E49" s="2">
        <v>2018</v>
      </c>
      <c r="F49" s="2">
        <v>156355.27627022247</v>
      </c>
    </row>
    <row r="50" spans="1:6" x14ac:dyDescent="0.15">
      <c r="E50" s="2">
        <v>2019</v>
      </c>
      <c r="F50" s="2">
        <v>206574.51788892472</v>
      </c>
    </row>
    <row r="51" spans="1:6" x14ac:dyDescent="0.15">
      <c r="E51" s="2">
        <v>2020</v>
      </c>
      <c r="F51" s="2">
        <v>259439.62258949399</v>
      </c>
    </row>
    <row r="52" spans="1:6" x14ac:dyDescent="0.15">
      <c r="E52" s="2">
        <v>2021</v>
      </c>
      <c r="F52" s="2">
        <v>315041.35912271938</v>
      </c>
    </row>
    <row r="53" spans="1:6" x14ac:dyDescent="0.15">
      <c r="E53" s="2">
        <v>2022</v>
      </c>
      <c r="F53" s="2">
        <v>377073.33323049691</v>
      </c>
    </row>
    <row r="54" spans="1:6" x14ac:dyDescent="0.15">
      <c r="E54" s="2">
        <v>2023</v>
      </c>
      <c r="F54" s="2">
        <v>442068.07389484876</v>
      </c>
    </row>
    <row r="55" spans="1:6" x14ac:dyDescent="0.15">
      <c r="E55" s="2">
        <v>2024</v>
      </c>
      <c r="F55" s="2">
        <v>510125.48218580557</v>
      </c>
    </row>
    <row r="56" spans="1:6" x14ac:dyDescent="0.15">
      <c r="A56" s="1" t="s">
        <v>37</v>
      </c>
      <c r="E56" s="2">
        <v>2025</v>
      </c>
      <c r="F56" s="2">
        <v>581348.56638623215</v>
      </c>
    </row>
    <row r="57" spans="1:6" x14ac:dyDescent="0.15">
      <c r="E57" s="2">
        <v>2026</v>
      </c>
      <c r="F57" s="2">
        <v>655843.53631002002</v>
      </c>
    </row>
    <row r="58" spans="1:6" x14ac:dyDescent="0.15">
      <c r="E58" s="2">
        <v>2027</v>
      </c>
      <c r="F58" s="2">
        <v>733719.90046084358</v>
      </c>
    </row>
    <row r="59" spans="1:6" x14ac:dyDescent="0.15">
      <c r="E59" s="2">
        <v>2028</v>
      </c>
      <c r="F59" s="2">
        <v>815090.56611680705</v>
      </c>
    </row>
    <row r="60" spans="1:6" x14ac:dyDescent="0.15">
      <c r="E60" s="2">
        <v>2029</v>
      </c>
      <c r="F60" s="2">
        <v>900071.94242887083</v>
      </c>
    </row>
    <row r="61" spans="1:6" x14ac:dyDescent="0.15">
      <c r="E61" s="2">
        <v>2030</v>
      </c>
      <c r="F61" s="2">
        <v>988784.04662358214</v>
      </c>
    </row>
    <row r="62" spans="1:6" x14ac:dyDescent="0.15">
      <c r="E62" s="2">
        <v>2031</v>
      </c>
      <c r="F62" s="2">
        <v>1081350.6134033531</v>
      </c>
    </row>
    <row r="63" spans="1:6" x14ac:dyDescent="0.15">
      <c r="E63" s="2">
        <v>2032</v>
      </c>
      <c r="F63" s="2">
        <v>1177899.207640328</v>
      </c>
    </row>
    <row r="64" spans="1:6" x14ac:dyDescent="0.15">
      <c r="E64" s="2">
        <v>2033</v>
      </c>
      <c r="F64" s="2">
        <v>1278561.3404627608</v>
      </c>
    </row>
    <row r="65" spans="5:6" x14ac:dyDescent="0.15">
      <c r="E65" s="2">
        <v>2034</v>
      </c>
      <c r="F65" s="2">
        <v>1383472.5888357989</v>
      </c>
    </row>
    <row r="66" spans="5:6" x14ac:dyDescent="0.15">
      <c r="E66" s="2">
        <v>2035</v>
      </c>
      <c r="F66" s="2">
        <v>1492772.7187416195</v>
      </c>
    </row>
    <row r="67" spans="5:6" x14ac:dyDescent="0.15">
      <c r="E67" s="2">
        <v>2036</v>
      </c>
      <c r="F67" s="2">
        <v>1606605.8120670223</v>
      </c>
    </row>
    <row r="68" spans="5:6" x14ac:dyDescent="0.15">
      <c r="E68" s="2">
        <v>2037</v>
      </c>
      <c r="F68" s="2">
        <v>1725120.3973098188</v>
      </c>
    </row>
    <row r="69" spans="5:6" x14ac:dyDescent="0.15">
      <c r="E69" s="2">
        <v>2038</v>
      </c>
      <c r="F69" s="2">
        <v>1848469.5842187069</v>
      </c>
    </row>
    <row r="70" spans="5:6" x14ac:dyDescent="0.15">
      <c r="E70" s="2">
        <v>2039</v>
      </c>
      <c r="F70" s="2">
        <v>1976811.2024847579</v>
      </c>
    </row>
    <row r="71" spans="5:6" x14ac:dyDescent="0.15">
      <c r="E71" s="2">
        <v>2040</v>
      </c>
      <c r="F71" s="2">
        <v>2110307.944606185</v>
      </c>
    </row>
    <row r="72" spans="5:6" x14ac:dyDescent="0.15">
      <c r="E72" s="2">
        <v>2041</v>
      </c>
      <c r="F72" s="2">
        <v>2249127.5130517241</v>
      </c>
    </row>
    <row r="73" spans="5:6" x14ac:dyDescent="0.15">
      <c r="E73" s="2">
        <v>2042</v>
      </c>
      <c r="F73" s="2">
        <v>2411442.7718517026</v>
      </c>
    </row>
    <row r="74" spans="5:6" x14ac:dyDescent="0.15">
      <c r="E74" s="2">
        <v>2043</v>
      </c>
      <c r="F74" s="2">
        <v>2579611.9027497647</v>
      </c>
    </row>
    <row r="75" spans="5:6" x14ac:dyDescent="0.15">
      <c r="E75" s="2">
        <v>2044</v>
      </c>
      <c r="F75" s="2">
        <v>2753820.366052194</v>
      </c>
    </row>
    <row r="76" spans="5:6" x14ac:dyDescent="0.15">
      <c r="E76" s="2">
        <v>2045</v>
      </c>
      <c r="F76" s="2">
        <v>2934259.2843158958</v>
      </c>
    </row>
    <row r="77" spans="5:6" x14ac:dyDescent="0.15">
      <c r="E77" s="2">
        <v>2046</v>
      </c>
      <c r="F77" s="2">
        <v>3121125.6132003297</v>
      </c>
    </row>
    <row r="78" spans="5:6" x14ac:dyDescent="0.15">
      <c r="E78" s="2">
        <v>2047</v>
      </c>
      <c r="F78" s="2">
        <v>3314622.3174548461</v>
      </c>
    </row>
    <row r="79" spans="5:6" x14ac:dyDescent="0.15">
      <c r="E79" s="2">
        <v>2048</v>
      </c>
      <c r="F79" s="2">
        <v>3514958.5521955835</v>
      </c>
    </row>
    <row r="80" spans="5:6" x14ac:dyDescent="0.15">
      <c r="E80" s="2">
        <v>2049</v>
      </c>
      <c r="F80" s="2">
        <v>3722349.8496307135</v>
      </c>
    </row>
    <row r="81" spans="5:6" x14ac:dyDescent="0.15">
      <c r="E81" s="2">
        <v>2050</v>
      </c>
      <c r="F81" s="2">
        <v>3937018.3113975897</v>
      </c>
    </row>
    <row r="82" spans="5:6" x14ac:dyDescent="0.15">
      <c r="E82" s="2">
        <v>2051</v>
      </c>
      <c r="F82" s="2">
        <v>4159192.8066802523</v>
      </c>
    </row>
    <row r="83" spans="5:6" x14ac:dyDescent="0.15">
      <c r="E83" s="2">
        <v>2052</v>
      </c>
      <c r="F83" s="2">
        <v>4389109.1762808021</v>
      </c>
    </row>
    <row r="84" spans="5:6" x14ac:dyDescent="0.15">
      <c r="E84" s="2">
        <v>2053</v>
      </c>
      <c r="F84" s="2">
        <v>4627010.44282337</v>
      </c>
    </row>
    <row r="85" spans="5:6" x14ac:dyDescent="0.15">
      <c r="E85" s="2">
        <v>2054</v>
      </c>
      <c r="F85" s="2">
        <v>4873147.0272747558</v>
      </c>
    </row>
    <row r="86" spans="5:6" x14ac:dyDescent="0.15">
      <c r="E86" s="2">
        <v>2055</v>
      </c>
      <c r="F86" s="2">
        <v>5127776.9719713507</v>
      </c>
    </row>
    <row r="87" spans="5:6" x14ac:dyDescent="0.15">
      <c r="E87" s="2">
        <f>AZ3</f>
        <v>0</v>
      </c>
      <c r="F87" s="2">
        <f>AZ26</f>
        <v>0</v>
      </c>
    </row>
    <row r="88" spans="5:6" x14ac:dyDescent="0.15">
      <c r="E88" s="2">
        <f t="shared" ref="E88:E97" si="76">AZ4</f>
        <v>0</v>
      </c>
      <c r="F88" s="2">
        <f t="shared" ref="F88:F97" si="77">AZ27</f>
        <v>0</v>
      </c>
    </row>
    <row r="89" spans="5:6" x14ac:dyDescent="0.15">
      <c r="E89" s="2">
        <f t="shared" si="76"/>
        <v>0</v>
      </c>
      <c r="F89" s="2">
        <f t="shared" si="77"/>
        <v>0</v>
      </c>
    </row>
    <row r="90" spans="5:6" x14ac:dyDescent="0.15">
      <c r="E90" s="2">
        <f t="shared" si="76"/>
        <v>0</v>
      </c>
      <c r="F90" s="2">
        <f t="shared" si="77"/>
        <v>0</v>
      </c>
    </row>
    <row r="91" spans="5:6" x14ac:dyDescent="0.15">
      <c r="E91" s="2">
        <f t="shared" si="76"/>
        <v>0</v>
      </c>
      <c r="F91" s="2">
        <f t="shared" si="77"/>
        <v>0</v>
      </c>
    </row>
    <row r="92" spans="5:6" x14ac:dyDescent="0.15">
      <c r="E92" s="2">
        <f t="shared" si="76"/>
        <v>0</v>
      </c>
      <c r="F92" s="2">
        <f t="shared" si="77"/>
        <v>0</v>
      </c>
    </row>
    <row r="93" spans="5:6" x14ac:dyDescent="0.15">
      <c r="E93" s="2">
        <f t="shared" si="76"/>
        <v>0</v>
      </c>
      <c r="F93" s="2">
        <f t="shared" si="77"/>
        <v>0</v>
      </c>
    </row>
    <row r="94" spans="5:6" x14ac:dyDescent="0.15">
      <c r="E94" s="2">
        <f t="shared" si="76"/>
        <v>0</v>
      </c>
      <c r="F94" s="2">
        <f t="shared" si="77"/>
        <v>0</v>
      </c>
    </row>
    <row r="95" spans="5:6" x14ac:dyDescent="0.15">
      <c r="E95" s="2">
        <f t="shared" si="76"/>
        <v>0</v>
      </c>
      <c r="F95" s="2">
        <f t="shared" si="77"/>
        <v>0</v>
      </c>
    </row>
    <row r="96" spans="5:6" x14ac:dyDescent="0.15">
      <c r="E96" s="2">
        <f t="shared" si="76"/>
        <v>0</v>
      </c>
      <c r="F96" s="2">
        <f t="shared" si="77"/>
        <v>0</v>
      </c>
    </row>
    <row r="97" spans="5:6" x14ac:dyDescent="0.15">
      <c r="E97" s="2">
        <f t="shared" si="76"/>
        <v>0</v>
      </c>
      <c r="F97" s="2">
        <f t="shared" si="77"/>
        <v>0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GoToInputs">
                <anchor moveWithCells="1" sizeWithCells="1">
                  <from>
                    <xdr:col>10</xdr:col>
                    <xdr:colOff>317500</xdr:colOff>
                    <xdr:row>43</xdr:row>
                    <xdr:rowOff>127000</xdr:rowOff>
                  </from>
                  <to>
                    <xdr:col>12</xdr:col>
                    <xdr:colOff>114300</xdr:colOff>
                    <xdr:row>46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Inputs</vt:lpstr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</dc:creator>
  <cp:lastModifiedBy>Jimmy A. Creznic</cp:lastModifiedBy>
  <cp:lastPrinted>2016-11-25T07:36:45Z</cp:lastPrinted>
  <dcterms:created xsi:type="dcterms:W3CDTF">2016-11-23T15:02:51Z</dcterms:created>
  <dcterms:modified xsi:type="dcterms:W3CDTF">2020-04-14T23:14:10Z</dcterms:modified>
</cp:coreProperties>
</file>
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3" codeName="{2415A153-8570-D804-BEE2-DBEC5437C89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immycreznic/Desktop/"/>
    </mc:Choice>
  </mc:AlternateContent>
  <xr:revisionPtr revIDLastSave="0" documentId="13_ncr:1_{DF9F17C2-15E1-524C-A5E7-A97C9B773DEA}" xr6:coauthVersionLast="45" xr6:coauthVersionMax="45" xr10:uidLastSave="{00000000-0000-0000-0000-000000000000}"/>
  <bookViews>
    <workbookView xWindow="240" yWindow="460" windowWidth="30020" windowHeight="21600" firstSheet="11" activeTab="24" xr2:uid="{00000000-000D-0000-FFFF-FFFF00000000}"/>
  </bookViews>
  <sheets>
    <sheet name="Logo" sheetId="34" r:id="rId1"/>
    <sheet name="Summary" sheetId="14" r:id="rId2"/>
    <sheet name="Region1" sheetId="1" r:id="rId3"/>
    <sheet name="Region2" sheetId="2" r:id="rId4"/>
    <sheet name="Region3" sheetId="3" r:id="rId5"/>
    <sheet name="Region4" sheetId="13" r:id="rId6"/>
    <sheet name="Region5" sheetId="15" r:id="rId7"/>
    <sheet name="Region6" sheetId="16" r:id="rId8"/>
    <sheet name="Region7" sheetId="17" r:id="rId9"/>
    <sheet name="Region8" sheetId="18" r:id="rId10"/>
    <sheet name="Region9" sheetId="19" r:id="rId11"/>
    <sheet name="Region10" sheetId="20" r:id="rId12"/>
    <sheet name="Region11" sheetId="21" r:id="rId13"/>
    <sheet name="Region12" sheetId="22" r:id="rId14"/>
    <sheet name="Region13" sheetId="23" r:id="rId15"/>
    <sheet name="Region14" sheetId="24" r:id="rId16"/>
    <sheet name="Region15" sheetId="25" r:id="rId17"/>
    <sheet name="Region16" sheetId="26" r:id="rId18"/>
    <sheet name="Region17" sheetId="27" r:id="rId19"/>
    <sheet name="Region18" sheetId="28" r:id="rId20"/>
    <sheet name="Region19" sheetId="29" r:id="rId21"/>
    <sheet name="Region20" sheetId="30" r:id="rId22"/>
    <sheet name="Distribution" sheetId="31" r:id="rId23"/>
    <sheet name="Warranty Sales - Function" sheetId="32" r:id="rId24"/>
    <sheet name="Checkout" sheetId="33" r:id="rId2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04" i="31" l="1"/>
  <c r="K104" i="31"/>
  <c r="L104" i="31"/>
  <c r="M104" i="31"/>
  <c r="N104" i="31"/>
  <c r="O104" i="31"/>
  <c r="P104" i="31"/>
  <c r="Q104" i="31"/>
  <c r="R104" i="31"/>
  <c r="S104" i="31"/>
  <c r="T104" i="31"/>
  <c r="U104" i="31"/>
  <c r="V104" i="31"/>
  <c r="W104" i="31"/>
  <c r="X104" i="31"/>
  <c r="Y104" i="31"/>
  <c r="Z104" i="31"/>
  <c r="AA104" i="31"/>
  <c r="AB104" i="31"/>
  <c r="AC104" i="31"/>
  <c r="AD104" i="31"/>
  <c r="AE104" i="31"/>
  <c r="AF104" i="31"/>
  <c r="AG104" i="31"/>
  <c r="AH104" i="31"/>
  <c r="AI104" i="31"/>
  <c r="AJ104" i="31"/>
  <c r="AK104" i="31"/>
  <c r="AL104" i="31"/>
  <c r="AM104" i="31"/>
  <c r="AN104" i="31"/>
  <c r="AO104" i="31"/>
  <c r="AP104" i="31"/>
  <c r="AQ104" i="31"/>
  <c r="AR104" i="31"/>
  <c r="AS104" i="31"/>
  <c r="AT104" i="31"/>
  <c r="AU104" i="31"/>
  <c r="AV104" i="31"/>
  <c r="AW104" i="31"/>
  <c r="AX104" i="31"/>
  <c r="AY104" i="31"/>
  <c r="AZ104" i="31"/>
  <c r="BA104" i="31"/>
  <c r="BB104" i="31"/>
  <c r="BC104" i="31"/>
  <c r="BD104" i="31"/>
  <c r="BE104" i="31"/>
  <c r="BF104" i="31"/>
  <c r="J105" i="31"/>
  <c r="K105" i="31"/>
  <c r="L105" i="31"/>
  <c r="M105" i="31"/>
  <c r="N105" i="31"/>
  <c r="O105" i="31"/>
  <c r="P105" i="31"/>
  <c r="Q105" i="31"/>
  <c r="R105" i="31"/>
  <c r="S105" i="31"/>
  <c r="T105" i="31"/>
  <c r="U105" i="31"/>
  <c r="V105" i="31"/>
  <c r="W105" i="31"/>
  <c r="X105" i="31"/>
  <c r="Y105" i="31"/>
  <c r="Z105" i="31"/>
  <c r="AA105" i="31"/>
  <c r="AB105" i="31"/>
  <c r="AC105" i="31"/>
  <c r="AD105" i="31"/>
  <c r="AE105" i="31"/>
  <c r="AF105" i="31"/>
  <c r="AG105" i="31"/>
  <c r="AH105" i="31"/>
  <c r="AI105" i="31"/>
  <c r="AJ105" i="31"/>
  <c r="AK105" i="31"/>
  <c r="AL105" i="31"/>
  <c r="AM105" i="31"/>
  <c r="AN105" i="31"/>
  <c r="AO105" i="31"/>
  <c r="AP105" i="31"/>
  <c r="AQ105" i="31"/>
  <c r="AR105" i="31"/>
  <c r="AS105" i="31"/>
  <c r="AT105" i="31"/>
  <c r="AU105" i="31"/>
  <c r="AV105" i="31"/>
  <c r="AW105" i="31"/>
  <c r="AX105" i="31"/>
  <c r="AY105" i="31"/>
  <c r="AZ105" i="31"/>
  <c r="BA105" i="31"/>
  <c r="BB105" i="31"/>
  <c r="BC105" i="31"/>
  <c r="BD105" i="31"/>
  <c r="BE105" i="31"/>
  <c r="BF105" i="31"/>
  <c r="I105" i="31"/>
  <c r="I104" i="31"/>
  <c r="D8" i="32"/>
  <c r="D12" i="32"/>
  <c r="D16" i="32"/>
  <c r="D20" i="32"/>
  <c r="D24" i="32"/>
  <c r="D28" i="32"/>
  <c r="D32" i="32"/>
  <c r="D36" i="32"/>
  <c r="D40" i="32"/>
  <c r="D44" i="32"/>
  <c r="D48" i="32"/>
  <c r="D52" i="32"/>
  <c r="D56" i="32"/>
  <c r="D60" i="32"/>
  <c r="D64" i="32"/>
  <c r="D68" i="32"/>
  <c r="D72" i="32"/>
  <c r="D76" i="32"/>
  <c r="D80" i="32"/>
  <c r="D84" i="32"/>
  <c r="D88" i="32"/>
  <c r="D92" i="32"/>
  <c r="D96" i="32"/>
  <c r="D100" i="32"/>
  <c r="D104" i="32"/>
  <c r="D108" i="32"/>
  <c r="D112" i="32"/>
  <c r="D116" i="32"/>
  <c r="D120" i="32"/>
  <c r="D124" i="32"/>
  <c r="D128" i="32"/>
  <c r="D132" i="32"/>
  <c r="D136" i="32"/>
  <c r="D140" i="32"/>
  <c r="D144" i="32"/>
  <c r="D148" i="32"/>
  <c r="D152" i="32"/>
  <c r="D156" i="32"/>
  <c r="D160" i="32"/>
  <c r="D164" i="32"/>
  <c r="D168" i="32"/>
  <c r="D172" i="32"/>
  <c r="D176" i="32"/>
  <c r="D180" i="32"/>
  <c r="D184" i="32"/>
  <c r="D188" i="32"/>
  <c r="D192" i="32"/>
  <c r="D196" i="32"/>
  <c r="D200" i="32"/>
  <c r="D204" i="32"/>
  <c r="D208" i="32"/>
  <c r="D212" i="32"/>
  <c r="D216" i="32"/>
  <c r="D220" i="32"/>
  <c r="D224" i="32"/>
  <c r="D228" i="32"/>
  <c r="D232" i="32"/>
  <c r="D236" i="32"/>
  <c r="D240" i="32"/>
  <c r="D244" i="32"/>
  <c r="D248" i="32"/>
  <c r="D252" i="32"/>
  <c r="D256" i="32"/>
  <c r="D260" i="32"/>
  <c r="D264" i="32"/>
  <c r="D268" i="32"/>
  <c r="D272" i="32"/>
  <c r="D276" i="32"/>
  <c r="D280" i="32"/>
  <c r="D284" i="32"/>
  <c r="D288" i="32"/>
  <c r="D292" i="32"/>
  <c r="D296" i="32"/>
  <c r="D300" i="32"/>
  <c r="D304" i="32"/>
  <c r="D308" i="32"/>
  <c r="D312" i="32"/>
  <c r="D316" i="32"/>
  <c r="D320" i="32"/>
  <c r="D324" i="32"/>
  <c r="D328" i="32"/>
  <c r="D332" i="32"/>
  <c r="D336" i="32"/>
  <c r="D340" i="32"/>
  <c r="D344" i="32"/>
  <c r="D348" i="32"/>
  <c r="D352" i="32"/>
  <c r="D356" i="32"/>
  <c r="D360" i="32"/>
  <c r="D364" i="32"/>
  <c r="D368" i="32"/>
  <c r="D372" i="32"/>
  <c r="D376" i="32"/>
  <c r="D380" i="32"/>
  <c r="D384" i="32"/>
  <c r="D388" i="32"/>
  <c r="D392" i="32"/>
  <c r="D396" i="32"/>
  <c r="D400" i="32"/>
  <c r="D404" i="32"/>
  <c r="D408" i="32"/>
  <c r="D412" i="32"/>
  <c r="D416" i="32"/>
  <c r="D420" i="32"/>
  <c r="D424" i="32"/>
  <c r="D428" i="32"/>
  <c r="D432" i="32"/>
  <c r="D436" i="32"/>
  <c r="D440" i="32"/>
  <c r="D444" i="32"/>
  <c r="D448" i="32"/>
  <c r="D452" i="32"/>
  <c r="D456" i="32"/>
  <c r="D460" i="32"/>
  <c r="D464" i="32"/>
  <c r="D468" i="32"/>
  <c r="D472" i="32"/>
  <c r="D476" i="32"/>
  <c r="D480" i="32"/>
  <c r="D484" i="32"/>
  <c r="D488" i="32"/>
  <c r="D492" i="32"/>
  <c r="D496" i="32"/>
  <c r="D500" i="32"/>
  <c r="D504" i="32"/>
  <c r="D494" i="32"/>
  <c r="D9" i="32"/>
  <c r="D13" i="32"/>
  <c r="D17" i="32"/>
  <c r="D21" i="32"/>
  <c r="D25" i="32"/>
  <c r="D29" i="32"/>
  <c r="D33" i="32"/>
  <c r="D37" i="32"/>
  <c r="D41" i="32"/>
  <c r="D45" i="32"/>
  <c r="D49" i="32"/>
  <c r="D53" i="32"/>
  <c r="D57" i="32"/>
  <c r="D61" i="32"/>
  <c r="D65" i="32"/>
  <c r="D69" i="32"/>
  <c r="D73" i="32"/>
  <c r="D77" i="32"/>
  <c r="D81" i="32"/>
  <c r="D85" i="32"/>
  <c r="D89" i="32"/>
  <c r="D93" i="32"/>
  <c r="D97" i="32"/>
  <c r="D101" i="32"/>
  <c r="D105" i="32"/>
  <c r="D109" i="32"/>
  <c r="D113" i="32"/>
  <c r="D117" i="32"/>
  <c r="D121" i="32"/>
  <c r="D125" i="32"/>
  <c r="D129" i="32"/>
  <c r="D133" i="32"/>
  <c r="D137" i="32"/>
  <c r="D141" i="32"/>
  <c r="D145" i="32"/>
  <c r="D149" i="32"/>
  <c r="D153" i="32"/>
  <c r="D157" i="32"/>
  <c r="D161" i="32"/>
  <c r="D165" i="32"/>
  <c r="D169" i="32"/>
  <c r="D173" i="32"/>
  <c r="D177" i="32"/>
  <c r="D181" i="32"/>
  <c r="D185" i="32"/>
  <c r="D189" i="32"/>
  <c r="D193" i="32"/>
  <c r="D197" i="32"/>
  <c r="D201" i="32"/>
  <c r="D205" i="32"/>
  <c r="D209" i="32"/>
  <c r="D213" i="32"/>
  <c r="D217" i="32"/>
  <c r="D221" i="32"/>
  <c r="D225" i="32"/>
  <c r="D229" i="32"/>
  <c r="D233" i="32"/>
  <c r="D237" i="32"/>
  <c r="D241" i="32"/>
  <c r="D245" i="32"/>
  <c r="D249" i="32"/>
  <c r="D253" i="32"/>
  <c r="D257" i="32"/>
  <c r="D261" i="32"/>
  <c r="D265" i="32"/>
  <c r="D269" i="32"/>
  <c r="D273" i="32"/>
  <c r="D277" i="32"/>
  <c r="D281" i="32"/>
  <c r="D285" i="32"/>
  <c r="D289" i="32"/>
  <c r="D293" i="32"/>
  <c r="D297" i="32"/>
  <c r="D301" i="32"/>
  <c r="D305" i="32"/>
  <c r="D309" i="32"/>
  <c r="D313" i="32"/>
  <c r="D317" i="32"/>
  <c r="D321" i="32"/>
  <c r="D325" i="32"/>
  <c r="D329" i="32"/>
  <c r="D333" i="32"/>
  <c r="D337" i="32"/>
  <c r="D341" i="32"/>
  <c r="D345" i="32"/>
  <c r="D349" i="32"/>
  <c r="D353" i="32"/>
  <c r="D357" i="32"/>
  <c r="D361" i="32"/>
  <c r="D365" i="32"/>
  <c r="D369" i="32"/>
  <c r="D373" i="32"/>
  <c r="D377" i="32"/>
  <c r="D381" i="32"/>
  <c r="D385" i="32"/>
  <c r="D389" i="32"/>
  <c r="D393" i="32"/>
  <c r="D397" i="32"/>
  <c r="D401" i="32"/>
  <c r="D405" i="32"/>
  <c r="D409" i="32"/>
  <c r="D413" i="32"/>
  <c r="D417" i="32"/>
  <c r="D421" i="32"/>
  <c r="D425" i="32"/>
  <c r="D429" i="32"/>
  <c r="D433" i="32"/>
  <c r="D437" i="32"/>
  <c r="D441" i="32"/>
  <c r="D445" i="32"/>
  <c r="D449" i="32"/>
  <c r="D453" i="32"/>
  <c r="D457" i="32"/>
  <c r="D461" i="32"/>
  <c r="D465" i="32"/>
  <c r="D469" i="32"/>
  <c r="D473" i="32"/>
  <c r="D477" i="32"/>
  <c r="D481" i="32"/>
  <c r="D485" i="32"/>
  <c r="D489" i="32"/>
  <c r="D493" i="32"/>
  <c r="D497" i="32"/>
  <c r="D501" i="32"/>
  <c r="D505" i="32"/>
  <c r="D490" i="32"/>
  <c r="D506" i="32"/>
  <c r="D10" i="32"/>
  <c r="D14" i="32"/>
  <c r="D18" i="32"/>
  <c r="D22" i="32"/>
  <c r="D26" i="32"/>
  <c r="D30" i="32"/>
  <c r="D34" i="32"/>
  <c r="D38" i="32"/>
  <c r="D42" i="32"/>
  <c r="D46" i="32"/>
  <c r="D50" i="32"/>
  <c r="D54" i="32"/>
  <c r="D58" i="32"/>
  <c r="D62" i="32"/>
  <c r="D66" i="32"/>
  <c r="D70" i="32"/>
  <c r="D74" i="32"/>
  <c r="D78" i="32"/>
  <c r="D82" i="32"/>
  <c r="D86" i="32"/>
  <c r="D90" i="32"/>
  <c r="D94" i="32"/>
  <c r="D98" i="32"/>
  <c r="D102" i="32"/>
  <c r="D106" i="32"/>
  <c r="D110" i="32"/>
  <c r="D114" i="32"/>
  <c r="D118" i="32"/>
  <c r="D122" i="32"/>
  <c r="D126" i="32"/>
  <c r="D130" i="32"/>
  <c r="D134" i="32"/>
  <c r="D138" i="32"/>
  <c r="D142" i="32"/>
  <c r="D146" i="32"/>
  <c r="D150" i="32"/>
  <c r="D154" i="32"/>
  <c r="D158" i="32"/>
  <c r="D162" i="32"/>
  <c r="D166" i="32"/>
  <c r="D170" i="32"/>
  <c r="D174" i="32"/>
  <c r="D178" i="32"/>
  <c r="D182" i="32"/>
  <c r="D186" i="32"/>
  <c r="D190" i="32"/>
  <c r="D194" i="32"/>
  <c r="D198" i="32"/>
  <c r="D202" i="32"/>
  <c r="D206" i="32"/>
  <c r="D210" i="32"/>
  <c r="D214" i="32"/>
  <c r="D218" i="32"/>
  <c r="D222" i="32"/>
  <c r="D226" i="32"/>
  <c r="D230" i="32"/>
  <c r="D234" i="32"/>
  <c r="D238" i="32"/>
  <c r="D242" i="32"/>
  <c r="D246" i="32"/>
  <c r="D250" i="32"/>
  <c r="D254" i="32"/>
  <c r="D258" i="32"/>
  <c r="D262" i="32"/>
  <c r="D266" i="32"/>
  <c r="D270" i="32"/>
  <c r="D274" i="32"/>
  <c r="D278" i="32"/>
  <c r="D282" i="32"/>
  <c r="D286" i="32"/>
  <c r="D290" i="32"/>
  <c r="D294" i="32"/>
  <c r="D298" i="32"/>
  <c r="D302" i="32"/>
  <c r="D306" i="32"/>
  <c r="D310" i="32"/>
  <c r="D314" i="32"/>
  <c r="D318" i="32"/>
  <c r="D322" i="32"/>
  <c r="D326" i="32"/>
  <c r="D330" i="32"/>
  <c r="D334" i="32"/>
  <c r="D338" i="32"/>
  <c r="D342" i="32"/>
  <c r="D346" i="32"/>
  <c r="D350" i="32"/>
  <c r="D354" i="32"/>
  <c r="D358" i="32"/>
  <c r="D362" i="32"/>
  <c r="D366" i="32"/>
  <c r="D370" i="32"/>
  <c r="D374" i="32"/>
  <c r="D378" i="32"/>
  <c r="D382" i="32"/>
  <c r="D386" i="32"/>
  <c r="D390" i="32"/>
  <c r="D394" i="32"/>
  <c r="D398" i="32"/>
  <c r="D402" i="32"/>
  <c r="D406" i="32"/>
  <c r="D410" i="32"/>
  <c r="D414" i="32"/>
  <c r="D418" i="32"/>
  <c r="D422" i="32"/>
  <c r="D426" i="32"/>
  <c r="D430" i="32"/>
  <c r="D434" i="32"/>
  <c r="D438" i="32"/>
  <c r="D442" i="32"/>
  <c r="D446" i="32"/>
  <c r="D450" i="32"/>
  <c r="D454" i="32"/>
  <c r="D458" i="32"/>
  <c r="D462" i="32"/>
  <c r="D466" i="32"/>
  <c r="D470" i="32"/>
  <c r="D474" i="32"/>
  <c r="D478" i="32"/>
  <c r="D482" i="32"/>
  <c r="D486" i="32"/>
  <c r="D498" i="32"/>
  <c r="D502" i="32"/>
  <c r="D11" i="32"/>
  <c r="D27" i="32"/>
  <c r="D43" i="32"/>
  <c r="D59" i="32"/>
  <c r="D75" i="32"/>
  <c r="D91" i="32"/>
  <c r="D107" i="32"/>
  <c r="D123" i="32"/>
  <c r="D139" i="32"/>
  <c r="D155" i="32"/>
  <c r="D171" i="32"/>
  <c r="D187" i="32"/>
  <c r="D203" i="32"/>
  <c r="D219" i="32"/>
  <c r="D235" i="32"/>
  <c r="D251" i="32"/>
  <c r="D267" i="32"/>
  <c r="D283" i="32"/>
  <c r="D299" i="32"/>
  <c r="D315" i="32"/>
  <c r="D331" i="32"/>
  <c r="D347" i="32"/>
  <c r="D363" i="32"/>
  <c r="D379" i="32"/>
  <c r="D395" i="32"/>
  <c r="D411" i="32"/>
  <c r="D427" i="32"/>
  <c r="D443" i="32"/>
  <c r="D459" i="32"/>
  <c r="D475" i="32"/>
  <c r="D491" i="32"/>
  <c r="D79" i="32"/>
  <c r="D127" i="32"/>
  <c r="D159" i="32"/>
  <c r="D191" i="32"/>
  <c r="D223" i="32"/>
  <c r="D239" i="32"/>
  <c r="D271" i="32"/>
  <c r="D303" i="32"/>
  <c r="D319" i="32"/>
  <c r="D351" i="32"/>
  <c r="D367" i="32"/>
  <c r="D399" i="32"/>
  <c r="D431" i="32"/>
  <c r="D463" i="32"/>
  <c r="D495" i="32"/>
  <c r="D291" i="32"/>
  <c r="D339" i="32"/>
  <c r="D387" i="32"/>
  <c r="D435" i="32"/>
  <c r="D483" i="32"/>
  <c r="D39" i="32"/>
  <c r="D87" i="32"/>
  <c r="D135" i="32"/>
  <c r="D183" i="32"/>
  <c r="D231" i="32"/>
  <c r="D279" i="32"/>
  <c r="D327" i="32"/>
  <c r="D375" i="32"/>
  <c r="D423" i="32"/>
  <c r="D471" i="32"/>
  <c r="D15" i="32"/>
  <c r="D31" i="32"/>
  <c r="D47" i="32"/>
  <c r="D63" i="32"/>
  <c r="D95" i="32"/>
  <c r="D111" i="32"/>
  <c r="D143" i="32"/>
  <c r="D175" i="32"/>
  <c r="D207" i="32"/>
  <c r="D255" i="32"/>
  <c r="D287" i="32"/>
  <c r="D335" i="32"/>
  <c r="D383" i="32"/>
  <c r="D415" i="32"/>
  <c r="D447" i="32"/>
  <c r="D479" i="32"/>
  <c r="D307" i="32"/>
  <c r="D371" i="32"/>
  <c r="D419" i="32"/>
  <c r="D451" i="32"/>
  <c r="D499" i="32"/>
  <c r="D23" i="32"/>
  <c r="D103" i="32"/>
  <c r="D151" i="32"/>
  <c r="D199" i="32"/>
  <c r="D247" i="32"/>
  <c r="D295" i="32"/>
  <c r="D343" i="32"/>
  <c r="D391" i="32"/>
  <c r="D439" i="32"/>
  <c r="D487" i="32"/>
  <c r="D19" i="32"/>
  <c r="D35" i="32"/>
  <c r="D51" i="32"/>
  <c r="D67" i="32"/>
  <c r="D83" i="32"/>
  <c r="D99" i="32"/>
  <c r="D115" i="32"/>
  <c r="D131" i="32"/>
  <c r="D147" i="32"/>
  <c r="D163" i="32"/>
  <c r="D179" i="32"/>
  <c r="D195" i="32"/>
  <c r="D211" i="32"/>
  <c r="D227" i="32"/>
  <c r="D243" i="32"/>
  <c r="D259" i="32"/>
  <c r="D275" i="32"/>
  <c r="D323" i="32"/>
  <c r="D355" i="32"/>
  <c r="D403" i="32"/>
  <c r="D467" i="32"/>
  <c r="D55" i="32"/>
  <c r="D71" i="32"/>
  <c r="D119" i="32"/>
  <c r="D167" i="32"/>
  <c r="D215" i="32"/>
  <c r="D263" i="32"/>
  <c r="D311" i="32"/>
  <c r="D359" i="32"/>
  <c r="D407" i="32"/>
  <c r="D455" i="32"/>
  <c r="D503" i="32"/>
  <c r="D7" i="32"/>
  <c r="E7" i="32" l="1"/>
  <c r="C8" i="31"/>
  <c r="C9" i="31" s="1"/>
  <c r="C10" i="31" s="1"/>
  <c r="C11" i="31" s="1"/>
  <c r="C12" i="31" s="1"/>
  <c r="C13" i="31" s="1"/>
  <c r="C14" i="31" s="1"/>
  <c r="C15" i="31" s="1"/>
  <c r="C16" i="31" s="1"/>
  <c r="C17" i="31" s="1"/>
  <c r="C18" i="31" s="1"/>
  <c r="C19" i="31" s="1"/>
  <c r="C7" i="31"/>
  <c r="C6" i="31"/>
  <c r="BF103" i="31" l="1"/>
  <c r="BE103" i="31"/>
  <c r="BD103" i="31"/>
  <c r="BC103" i="31"/>
  <c r="BB103" i="31"/>
  <c r="BA103" i="31"/>
  <c r="AZ103" i="31"/>
  <c r="AY103" i="31"/>
  <c r="AX103" i="31"/>
  <c r="AW103" i="31"/>
  <c r="AV103" i="31"/>
  <c r="AU103" i="31"/>
  <c r="AT103" i="31"/>
  <c r="AS103" i="31"/>
  <c r="AR103" i="31"/>
  <c r="AQ103" i="31"/>
  <c r="AP103" i="31"/>
  <c r="AO103" i="31"/>
  <c r="AN103" i="31"/>
  <c r="AM103" i="31"/>
  <c r="AL103" i="31"/>
  <c r="AK103" i="31"/>
  <c r="AJ103" i="31"/>
  <c r="AI103" i="31"/>
  <c r="AH103" i="31"/>
  <c r="AG103" i="31"/>
  <c r="AF103" i="31"/>
  <c r="AE103" i="31"/>
  <c r="AD103" i="31"/>
  <c r="AC103" i="31"/>
  <c r="AB103" i="31"/>
  <c r="AA103" i="31"/>
  <c r="Z103" i="31"/>
  <c r="Y103" i="31"/>
  <c r="X103" i="31"/>
  <c r="W103" i="31"/>
  <c r="V103" i="31"/>
  <c r="U103" i="31"/>
  <c r="T103" i="31"/>
  <c r="S103" i="31"/>
  <c r="R103" i="31"/>
  <c r="Q103" i="31"/>
  <c r="P103" i="31"/>
  <c r="O103" i="31"/>
  <c r="N103" i="31"/>
  <c r="M103" i="31"/>
  <c r="L103" i="31"/>
  <c r="K103" i="31"/>
  <c r="J103" i="31"/>
  <c r="I103" i="31"/>
  <c r="B8" i="14"/>
  <c r="D2" i="14"/>
  <c r="N8" i="14"/>
  <c r="B7" i="14"/>
  <c r="M12" i="14"/>
  <c r="E8" i="14"/>
  <c r="L15" i="14"/>
  <c r="K8" i="14"/>
  <c r="D3" i="14"/>
  <c r="U12" i="14"/>
  <c r="F15" i="14"/>
  <c r="P2" i="14"/>
  <c r="G2" i="14"/>
  <c r="U3" i="14"/>
  <c r="C4" i="14"/>
  <c r="J4" i="14"/>
  <c r="Q10" i="14"/>
  <c r="U6" i="14"/>
  <c r="K10" i="14"/>
  <c r="I7" i="14"/>
  <c r="I4" i="14"/>
  <c r="D8" i="14"/>
  <c r="E13" i="14"/>
  <c r="T13" i="14"/>
  <c r="N4" i="14"/>
  <c r="L13" i="14"/>
  <c r="J3" i="14"/>
  <c r="B2" i="14"/>
  <c r="E9" i="14"/>
  <c r="T4" i="14"/>
  <c r="C9" i="14"/>
  <c r="F9" i="14"/>
  <c r="P5" i="14"/>
  <c r="C3" i="14"/>
  <c r="J2" i="14"/>
  <c r="B4" i="14"/>
  <c r="J7" i="14"/>
  <c r="S11" i="14"/>
  <c r="K15" i="14"/>
  <c r="P15" i="14"/>
  <c r="E11" i="14"/>
  <c r="G11" i="14"/>
  <c r="T6" i="14"/>
  <c r="S4" i="14"/>
  <c r="G9" i="14"/>
  <c r="K9" i="14"/>
  <c r="H13" i="14"/>
  <c r="R2" i="14"/>
  <c r="L12" i="14"/>
  <c r="H15" i="14"/>
  <c r="S9" i="14"/>
  <c r="T10" i="14"/>
  <c r="P8" i="14"/>
  <c r="Q13" i="14"/>
  <c r="U13" i="14"/>
  <c r="R4" i="14"/>
  <c r="U7" i="14"/>
  <c r="U2" i="14"/>
  <c r="H11" i="14"/>
  <c r="D12" i="14"/>
  <c r="D6" i="14"/>
  <c r="M5" i="14"/>
  <c r="O12" i="14"/>
  <c r="K6" i="14"/>
  <c r="L5" i="14"/>
  <c r="P3" i="14"/>
  <c r="S7" i="14"/>
  <c r="S10" i="14"/>
  <c r="E12" i="14"/>
  <c r="C2" i="14"/>
  <c r="J9" i="14"/>
  <c r="Q7" i="14"/>
  <c r="H6" i="14"/>
  <c r="I10" i="14"/>
  <c r="F12" i="14"/>
  <c r="E15" i="14"/>
  <c r="J11" i="14"/>
  <c r="L7" i="14"/>
  <c r="I3" i="14"/>
  <c r="D4" i="14"/>
  <c r="G15" i="14"/>
  <c r="C10" i="14"/>
  <c r="G12" i="14"/>
  <c r="C13" i="14"/>
  <c r="P4" i="14"/>
  <c r="B11" i="14"/>
  <c r="N5" i="14"/>
  <c r="F11" i="14"/>
  <c r="M3" i="14"/>
  <c r="G8" i="14"/>
  <c r="C6" i="14"/>
  <c r="N6" i="14"/>
  <c r="T9" i="14"/>
  <c r="B3" i="14"/>
  <c r="L11" i="14"/>
  <c r="L2" i="14"/>
  <c r="G7" i="14"/>
  <c r="I15" i="14"/>
  <c r="Q11" i="14"/>
  <c r="U11" i="14"/>
  <c r="I11" i="14"/>
  <c r="T12" i="14"/>
  <c r="F13" i="14"/>
  <c r="S15" i="14"/>
  <c r="M9" i="14"/>
  <c r="I12" i="14"/>
  <c r="M7" i="14"/>
  <c r="M15" i="14"/>
  <c r="K7" i="14"/>
  <c r="B10" i="14"/>
  <c r="K11" i="14"/>
  <c r="L10" i="14"/>
  <c r="F6" i="14"/>
  <c r="J15" i="14"/>
  <c r="N2" i="14"/>
  <c r="D13" i="14"/>
  <c r="Q2" i="14"/>
  <c r="E5" i="14"/>
  <c r="M13" i="14"/>
  <c r="T2" i="14"/>
  <c r="K13" i="14"/>
  <c r="M2" i="14"/>
  <c r="Q4" i="14"/>
  <c r="S8" i="14"/>
  <c r="N11" i="14"/>
  <c r="I8" i="14"/>
  <c r="U5" i="14"/>
  <c r="I2" i="14"/>
  <c r="H4" i="14"/>
  <c r="S5" i="14"/>
  <c r="H5" i="14"/>
  <c r="P11" i="14"/>
  <c r="L6" i="14"/>
  <c r="S6" i="14"/>
  <c r="D15" i="14"/>
  <c r="P10" i="14"/>
  <c r="R3" i="14"/>
  <c r="P13" i="14"/>
  <c r="I9" i="14"/>
  <c r="U9" i="14"/>
  <c r="Q5" i="14"/>
  <c r="U10" i="14"/>
  <c r="C7" i="14"/>
  <c r="B12" i="14"/>
  <c r="L8" i="14"/>
  <c r="F5" i="14"/>
  <c r="F3" i="14"/>
  <c r="G5" i="14"/>
  <c r="T15" i="14"/>
  <c r="F7" i="14"/>
  <c r="O2" i="14"/>
  <c r="O3" i="14"/>
  <c r="P6" i="14"/>
  <c r="N9" i="14"/>
  <c r="Q8" i="14"/>
  <c r="R8" i="14"/>
  <c r="C12" i="14"/>
  <c r="P9" i="14"/>
  <c r="O7" i="14"/>
  <c r="C11" i="14"/>
  <c r="E10" i="14"/>
  <c r="O9" i="14"/>
  <c r="P12" i="14"/>
  <c r="F10" i="14"/>
  <c r="R6" i="14"/>
  <c r="D11" i="14"/>
  <c r="K2" i="14"/>
  <c r="B15" i="14"/>
  <c r="N3" i="14"/>
  <c r="Q3" i="14"/>
  <c r="E3" i="14"/>
  <c r="U4" i="14"/>
  <c r="J8" i="14"/>
  <c r="I6" i="14"/>
  <c r="T8" i="14"/>
  <c r="R10" i="14"/>
  <c r="G4" i="14"/>
  <c r="T3" i="14"/>
  <c r="H8" i="14"/>
  <c r="G10" i="14"/>
  <c r="O15" i="14"/>
  <c r="J5" i="14"/>
  <c r="M4" i="14"/>
  <c r="B6" i="14"/>
  <c r="N7" i="14"/>
  <c r="F2" i="14"/>
  <c r="C8" i="14"/>
  <c r="M10" i="14"/>
  <c r="B9" i="14"/>
  <c r="S12" i="14"/>
  <c r="O11" i="14"/>
  <c r="R5" i="14"/>
  <c r="K3" i="14"/>
  <c r="H3" i="14"/>
  <c r="N12" i="14"/>
  <c r="R13" i="14"/>
  <c r="E2" i="14"/>
  <c r="F8" i="14"/>
  <c r="J13" i="14"/>
  <c r="T5" i="14"/>
  <c r="M8" i="14"/>
  <c r="E7" i="14"/>
  <c r="U8" i="14"/>
  <c r="R7" i="14"/>
  <c r="E4" i="14"/>
  <c r="O10" i="14"/>
  <c r="D7" i="14"/>
  <c r="D10" i="14"/>
  <c r="N15" i="14"/>
  <c r="B5" i="14"/>
  <c r="L4" i="14"/>
  <c r="O6" i="14"/>
  <c r="Q9" i="14"/>
  <c r="H10" i="14"/>
  <c r="J6" i="14"/>
  <c r="N10" i="14"/>
  <c r="R12" i="14"/>
  <c r="M11" i="14"/>
  <c r="I5" i="14"/>
  <c r="F4" i="14"/>
  <c r="Q6" i="14"/>
  <c r="K12" i="14"/>
  <c r="U15" i="14"/>
  <c r="J12" i="14"/>
  <c r="O5" i="14"/>
  <c r="S3" i="14"/>
  <c r="D9" i="14"/>
  <c r="J10" i="14"/>
  <c r="O4" i="14"/>
  <c r="H2" i="14"/>
  <c r="H7" i="14"/>
  <c r="S2" i="14"/>
  <c r="G13" i="14"/>
  <c r="K4" i="14"/>
  <c r="B13" i="14"/>
  <c r="E6" i="14"/>
  <c r="I13" i="14"/>
  <c r="K5" i="14"/>
  <c r="R9" i="14"/>
  <c r="G6" i="14"/>
  <c r="T7" i="14"/>
  <c r="S13" i="14"/>
  <c r="C15" i="14"/>
  <c r="T11" i="14"/>
  <c r="L3" i="14"/>
  <c r="L9" i="14"/>
  <c r="Q15" i="14"/>
  <c r="P7" i="14"/>
  <c r="H12" i="14"/>
  <c r="O8" i="14"/>
  <c r="R15" i="14"/>
  <c r="R11" i="14"/>
  <c r="O13" i="14"/>
  <c r="M6" i="14"/>
  <c r="G3" i="14"/>
  <c r="Q12" i="14"/>
  <c r="D5" i="14"/>
  <c r="H9" i="14"/>
  <c r="C5" i="14"/>
  <c r="N13" i="14"/>
  <c r="I14" i="14" l="1"/>
  <c r="U14" i="14"/>
  <c r="M14" i="14"/>
  <c r="F14" i="14"/>
  <c r="T14" i="14"/>
  <c r="Q14" i="14"/>
  <c r="N14" i="14"/>
  <c r="R14" i="14"/>
  <c r="K14" i="14"/>
  <c r="S14" i="14"/>
  <c r="J14" i="14"/>
  <c r="H14" i="14"/>
  <c r="L14" i="14"/>
  <c r="B14" i="14"/>
  <c r="O14" i="14"/>
  <c r="G14" i="14"/>
  <c r="P14" i="14"/>
  <c r="C14" i="14"/>
  <c r="D14" i="14"/>
  <c r="E14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Rogee</author>
  </authors>
  <commentList>
    <comment ref="I3" authorId="0" shapeId="0" xr:uid="{00000000-0006-0000-1600-000001000000}">
      <text>
        <r>
          <rPr>
            <sz val="9"/>
            <color rgb="FF000000"/>
            <rFont val="Tahoma"/>
            <family val="2"/>
          </rPr>
          <t xml:space="preserve">First, determine the Brand.  Then determine the Item sold.  Then attach a price from the price table and enter that number here.
</t>
        </r>
      </text>
    </comment>
  </commentList>
</comments>
</file>

<file path=xl/sharedStrings.xml><?xml version="1.0" encoding="utf-8"?>
<sst xmlns="http://schemas.openxmlformats.org/spreadsheetml/2006/main" count="1416" uniqueCount="92">
  <si>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</si>
  <si>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</si>
  <si>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</si>
  <si>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</si>
  <si>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</si>
  <si>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</si>
  <si>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</si>
  <si>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</si>
  <si>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</si>
  <si>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</si>
  <si>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</si>
  <si>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</si>
  <si>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</t>
  </si>
  <si>
    <t>Region1</t>
  </si>
  <si>
    <t>Region2</t>
  </si>
  <si>
    <t>Region3</t>
  </si>
  <si>
    <t>Region4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</si>
  <si>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</si>
  <si>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</si>
  <si>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</si>
  <si>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</si>
  <si>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</si>
  <si>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</si>
  <si>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</si>
  <si>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</si>
  <si>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</si>
  <si>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</si>
  <si>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</si>
  <si>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</si>
  <si>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Region5</t>
  </si>
  <si>
    <t>Region6</t>
  </si>
  <si>
    <t>Region7</t>
  </si>
  <si>
    <t>Region8</t>
  </si>
  <si>
    <t>Region9</t>
  </si>
  <si>
    <t>Region10</t>
  </si>
  <si>
    <t>Region11</t>
  </si>
  <si>
    <t>Region12</t>
  </si>
  <si>
    <t>Region13</t>
  </si>
  <si>
    <t>Region14</t>
  </si>
  <si>
    <t>Region15</t>
  </si>
  <si>
    <t>Region16</t>
  </si>
  <si>
    <t>Region17</t>
  </si>
  <si>
    <t>Region18</t>
  </si>
  <si>
    <t>Region19</t>
  </si>
  <si>
    <t>Region20</t>
  </si>
  <si>
    <t>Month</t>
  </si>
  <si>
    <t>Sales</t>
  </si>
  <si>
    <t>Check</t>
  </si>
  <si>
    <t>Generic</t>
  </si>
  <si>
    <t>Plus</t>
  </si>
  <si>
    <t>Distribution of Sales</t>
  </si>
  <si>
    <t>Refrigerator</t>
  </si>
  <si>
    <t>TV</t>
  </si>
  <si>
    <t>Dryer</t>
  </si>
  <si>
    <t>Laptop</t>
  </si>
  <si>
    <t>Washer</t>
  </si>
  <si>
    <t>Desktop CPU</t>
  </si>
  <si>
    <t>Camera</t>
  </si>
  <si>
    <t>Guitar</t>
  </si>
  <si>
    <t>Speakers</t>
  </si>
  <si>
    <t>Phone</t>
  </si>
  <si>
    <t>Tablet</t>
  </si>
  <si>
    <t>E-Reader</t>
  </si>
  <si>
    <t>MP3 Player</t>
  </si>
  <si>
    <t>GPS</t>
  </si>
  <si>
    <t>Item</t>
  </si>
  <si>
    <t>Brand</t>
  </si>
  <si>
    <t>1-Year Warranty Price Table</t>
  </si>
  <si>
    <t>Simulation Number -------&gt;</t>
  </si>
  <si>
    <t>Item#</t>
  </si>
  <si>
    <t>Total Sales ($)</t>
  </si>
  <si>
    <t>Goal: Analyze the Sales Data</t>
  </si>
  <si>
    <t>List of Warranty Sales for 2012</t>
  </si>
  <si>
    <t>Warranty Revenue $</t>
  </si>
  <si>
    <t>Total Revenue</t>
  </si>
  <si>
    <t>Create a function that takes in Item and Brand then returns the 1-Year Warranty Price Table</t>
  </si>
  <si>
    <t>Enter in Quantity</t>
  </si>
  <si>
    <t>Total Sales Revenue ($):</t>
  </si>
  <si>
    <t>Jan</t>
  </si>
  <si>
    <t>Feb</t>
  </si>
  <si>
    <t>Mar</t>
  </si>
  <si>
    <t>Apr</t>
  </si>
  <si>
    <t>May</t>
  </si>
  <si>
    <t>June</t>
  </si>
  <si>
    <t>July</t>
  </si>
  <si>
    <t>Aug</t>
  </si>
  <si>
    <t>Oct</t>
  </si>
  <si>
    <t>Sept</t>
  </si>
  <si>
    <t>Nov</t>
  </si>
  <si>
    <t>Dec</t>
  </si>
  <si>
    <t>Mean</t>
  </si>
  <si>
    <t>Var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</si>
</sst>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33CC"/>
      <name val="Calibri"/>
      <family val="2"/>
      <scheme val="minor"/>
    </font>
    <font>
      <sz val="9"/>
      <color rgb="FF000000"/>
      <name val="Tahoma"/>
      <family val="2"/>
    </font>
    <font>
      <sz val="12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7">
    <xf numFmtId="0" fontId="0" fillId="0" borderId="0" xfId="0"/>
    <xf numFmtId="0" fontId="2" fillId="0" borderId="0" xfId="0" applyFont="1"/>
    <xf numFmtId="164" fontId="0" fillId="0" borderId="0" xfId="1" applyNumberFormat="1" applyFont="1"/>
    <xf numFmtId="164" fontId="2" fillId="0" borderId="0" xfId="1" applyNumberFormat="1" applyFont="1"/>
    <xf numFmtId="0" fontId="0" fillId="0" borderId="1" xfId="0" applyBorder="1"/>
    <xf numFmtId="164" fontId="0" fillId="0" borderId="1" xfId="1" applyNumberFormat="1" applyFont="1" applyBorder="1"/>
    <xf numFmtId="0" fontId="3" fillId="0" borderId="0" xfId="0" applyFont="1" applyAlignment="1">
      <alignment horizontal="right"/>
    </xf>
    <xf numFmtId="0" fontId="3" fillId="0" borderId="1" xfId="0" applyFont="1" applyBorder="1" applyAlignment="1">
      <alignment horizontal="right"/>
    </xf>
    <xf numFmtId="0" fontId="5" fillId="0" borderId="0" xfId="0" applyFont="1" applyFill="1" applyBorder="1"/>
    <xf numFmtId="0" fontId="5" fillId="0" borderId="0" xfId="0" applyFont="1"/>
    <xf numFmtId="164" fontId="5" fillId="0" borderId="0" xfId="0" applyNumberFormat="1" applyFont="1"/>
    <xf numFmtId="0" fontId="0" fillId="0" borderId="2" xfId="0" applyBorder="1"/>
    <xf numFmtId="9" fontId="0" fillId="0" borderId="2" xfId="2" applyFont="1" applyBorder="1"/>
    <xf numFmtId="9" fontId="0" fillId="0" borderId="2" xfId="0" applyNumberFormat="1" applyBorder="1"/>
    <xf numFmtId="0" fontId="2" fillId="2" borderId="2" xfId="0" applyFont="1" applyFill="1" applyBorder="1"/>
    <xf numFmtId="0" fontId="0" fillId="3" borderId="6" xfId="0" applyFill="1" applyBorder="1"/>
    <xf numFmtId="0" fontId="2" fillId="3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6" xfId="0" applyFill="1" applyBorder="1" applyAlignment="1">
      <alignment horizontal="left"/>
    </xf>
    <xf numFmtId="0" fontId="0" fillId="3" borderId="11" xfId="0" applyFill="1" applyBorder="1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6" fillId="0" borderId="0" xfId="0" applyFont="1"/>
    <xf numFmtId="0" fontId="7" fillId="0" borderId="0" xfId="0" applyFont="1" applyFill="1"/>
    <xf numFmtId="0" fontId="0" fillId="0" borderId="0" xfId="0" applyFill="1" applyAlignment="1">
      <alignment horizontal="center"/>
    </xf>
    <xf numFmtId="0" fontId="0" fillId="0" borderId="0" xfId="0" applyFill="1"/>
    <xf numFmtId="0" fontId="2" fillId="5" borderId="7" xfId="0" applyFont="1" applyFill="1" applyBorder="1" applyAlignment="1">
      <alignment horizontal="center"/>
    </xf>
    <xf numFmtId="0" fontId="2" fillId="5" borderId="14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/>
    <xf numFmtId="0" fontId="0" fillId="4" borderId="0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7" fillId="4" borderId="7" xfId="0" applyFont="1" applyFill="1" applyBorder="1"/>
    <xf numFmtId="0" fontId="4" fillId="4" borderId="14" xfId="0" applyFont="1" applyFill="1" applyBorder="1" applyAlignment="1">
      <alignment horizontal="center"/>
    </xf>
    <xf numFmtId="0" fontId="4" fillId="4" borderId="14" xfId="0" applyFont="1" applyFill="1" applyBorder="1"/>
    <xf numFmtId="0" fontId="4" fillId="4" borderId="8" xfId="0" applyFont="1" applyFill="1" applyBorder="1"/>
    <xf numFmtId="0" fontId="5" fillId="0" borderId="0" xfId="0" applyFont="1" applyAlignment="1">
      <alignment horizontal="center"/>
    </xf>
    <xf numFmtId="164" fontId="5" fillId="0" borderId="0" xfId="1" applyNumberFormat="1" applyFont="1"/>
    <xf numFmtId="0" fontId="2" fillId="6" borderId="2" xfId="0" applyFont="1" applyFill="1" applyBorder="1"/>
    <xf numFmtId="0" fontId="2" fillId="6" borderId="2" xfId="0" applyFont="1" applyFill="1" applyBorder="1" applyAlignment="1">
      <alignment horizontal="center"/>
    </xf>
    <xf numFmtId="0" fontId="8" fillId="0" borderId="2" xfId="0" applyFont="1" applyBorder="1"/>
    <xf numFmtId="0" fontId="0" fillId="0" borderId="0" xfId="0" applyBorder="1" applyAlignment="1"/>
    <xf numFmtId="1" fontId="0" fillId="0" borderId="0" xfId="0" applyNumberFormat="1"/>
    <xf numFmtId="9" fontId="0" fillId="0" borderId="0" xfId="0" applyNumberFormat="1"/>
    <xf numFmtId="0" fontId="2" fillId="3" borderId="3" xfId="0" applyFont="1" applyFill="1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2" fillId="3" borderId="7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44" fontId="0" fillId="0" borderId="7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7" borderId="0" xfId="0" applyFont="1" applyFill="1"/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247650</xdr:colOff>
      <xdr:row>6</xdr:row>
      <xdr:rowOff>57150</xdr:rowOff>
    </xdr:from>
    <xdr:to>
      <xdr:col>9</xdr:col>
      <xdr:colOff>552918</xdr:colOff>
      <xdr:row>10</xdr:row>
      <xdr:rowOff>104888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86050" y="1200150"/>
          <a:ext cx="3353268" cy="8097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18</xdr:row>
          <xdr:rowOff>38100</xdr:rowOff>
        </xdr:from>
        <xdr:to>
          <xdr:col>8</xdr:col>
          <xdr:colOff>279400</xdr:colOff>
          <xdr:row>20</xdr:row>
          <xdr:rowOff>38100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95F42D22-4495-A647-B1B9-43E5CEA78E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 Revenue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"/>
  <sheetViews>
    <sheetView workbookViewId="0">
      <selection activeCell="H20" sqref="H20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V15"/>
  <sheetViews>
    <sheetView workbookViewId="0">
      <selection activeCell="B2" sqref="B2"/>
    </sheetView>
  </sheetViews>
  <sheetFormatPr baseColWidth="10" defaultColWidth="8.83203125" defaultRowHeight="15" x14ac:dyDescent="0.2"/>
  <sheetData>
    <row r="1" spans="1:22" x14ac:dyDescent="0.2">
      <c r="B1" t="s">
        <v>13</v>
      </c>
      <c r="C1" t="s">
        <v>14</v>
      </c>
      <c r="D1" t="s">
        <v>15</v>
      </c>
      <c r="E1" t="s">
        <v>16</v>
      </c>
      <c r="F1" t="s">
        <v>29</v>
      </c>
      <c r="G1" t="s">
        <v>30</v>
      </c>
      <c r="H1" t="s">
        <v>31</v>
      </c>
      <c r="I1" t="s">
        <v>32</v>
      </c>
      <c r="J1" t="s">
        <v>33</v>
      </c>
      <c r="K1" t="s">
        <v>34</v>
      </c>
      <c r="L1" t="s">
        <v>35</v>
      </c>
      <c r="M1" t="s">
        <v>36</v>
      </c>
      <c r="N1" t="s">
        <v>37</v>
      </c>
      <c r="O1" t="s">
        <v>38</v>
      </c>
      <c r="P1" t="s">
        <v>39</v>
      </c>
      <c r="Q1" t="s">
        <v>40</v>
      </c>
      <c r="R1" t="s">
        <v>41</v>
      </c>
      <c r="S1" t="s">
        <v>42</v>
      </c>
      <c r="T1" t="s">
        <v>43</v>
      </c>
      <c r="U1" t="s">
        <v>44</v>
      </c>
    </row>
    <row r="2" spans="1:22" x14ac:dyDescent="0.2">
      <c r="A2" t="s">
        <v>0</v>
      </c>
      <c r="B2" s="2">
        <f ca="1">INDIRECT("'"&amp;B$1&amp;"'!"&amp;$V2)</f>
        <v>785.21221923828125</v>
      </c>
      <c r="C2" s="2">
        <f t="shared" ref="C2:U13" ca="1" si="0">INDIRECT("'"&amp;C$1&amp;"'!"&amp;$V2)</f>
        <v>931</v>
      </c>
      <c r="D2" s="2">
        <f t="shared" ca="1" si="0"/>
        <v>617</v>
      </c>
      <c r="E2" s="2">
        <f t="shared" ca="1" si="0"/>
        <v>381</v>
      </c>
      <c r="F2" s="2">
        <f t="shared" ca="1" si="0"/>
        <v>254</v>
      </c>
      <c r="G2" s="2">
        <f t="shared" ca="1" si="0"/>
        <v>359</v>
      </c>
      <c r="H2" s="2">
        <f t="shared" ca="1" si="0"/>
        <v>298</v>
      </c>
      <c r="I2" s="2">
        <f t="shared" ca="1" si="0"/>
        <v>152</v>
      </c>
      <c r="J2" s="2">
        <f t="shared" ca="1" si="0"/>
        <v>104</v>
      </c>
      <c r="K2" s="2">
        <f t="shared" ca="1" si="0"/>
        <v>124</v>
      </c>
      <c r="L2" s="2">
        <f t="shared" ca="1" si="0"/>
        <v>311</v>
      </c>
      <c r="M2" s="2">
        <f t="shared" ca="1" si="0"/>
        <v>275</v>
      </c>
      <c r="N2" s="2">
        <f t="shared" ca="1" si="0"/>
        <v>937</v>
      </c>
      <c r="O2" s="2">
        <f t="shared" ca="1" si="0"/>
        <v>821</v>
      </c>
      <c r="P2" s="2">
        <f t="shared" ca="1" si="0"/>
        <v>725</v>
      </c>
      <c r="Q2" s="2">
        <f t="shared" ca="1" si="0"/>
        <v>127</v>
      </c>
      <c r="R2" s="2">
        <f t="shared" ca="1" si="0"/>
        <v>126</v>
      </c>
      <c r="S2" s="2">
        <f t="shared" ca="1" si="0"/>
        <v>800</v>
      </c>
      <c r="T2" s="2">
        <f t="shared" ca="1" si="0"/>
        <v>192</v>
      </c>
      <c r="U2" s="2">
        <f t="shared" ca="1" si="0"/>
        <v>884</v>
      </c>
      <c r="V2" s="6" t="s">
        <v>17</v>
      </c>
    </row>
    <row r="3" spans="1:22" x14ac:dyDescent="0.2">
      <c r="A3" t="s">
        <v>1</v>
      </c>
      <c r="B3" s="2">
        <f t="shared" ref="B3:Q13" ca="1" si="1">INDIRECT("'"&amp;B$1&amp;"'!"&amp;$V3)</f>
        <v>378.90255737304688</v>
      </c>
      <c r="C3" s="2">
        <f t="shared" ca="1" si="1"/>
        <v>870</v>
      </c>
      <c r="D3" s="2">
        <f t="shared" ca="1" si="1"/>
        <v>541</v>
      </c>
      <c r="E3" s="2">
        <f t="shared" ca="1" si="1"/>
        <v>584</v>
      </c>
      <c r="F3" s="2">
        <f t="shared" ca="1" si="1"/>
        <v>594</v>
      </c>
      <c r="G3" s="2">
        <f t="shared" ca="1" si="1"/>
        <v>731</v>
      </c>
      <c r="H3" s="2">
        <f t="shared" ca="1" si="1"/>
        <v>778</v>
      </c>
      <c r="I3" s="2">
        <f t="shared" ca="1" si="1"/>
        <v>626</v>
      </c>
      <c r="J3" s="2">
        <f t="shared" ca="1" si="1"/>
        <v>931</v>
      </c>
      <c r="K3" s="2">
        <f t="shared" ca="1" si="1"/>
        <v>740</v>
      </c>
      <c r="L3" s="2">
        <f t="shared" ca="1" si="1"/>
        <v>88</v>
      </c>
      <c r="M3" s="2">
        <f t="shared" ca="1" si="1"/>
        <v>326</v>
      </c>
      <c r="N3" s="2">
        <f t="shared" ca="1" si="1"/>
        <v>516</v>
      </c>
      <c r="O3" s="2">
        <f t="shared" ca="1" si="1"/>
        <v>944</v>
      </c>
      <c r="P3" s="2">
        <f t="shared" ca="1" si="1"/>
        <v>925</v>
      </c>
      <c r="Q3" s="2">
        <f t="shared" ca="1" si="1"/>
        <v>672</v>
      </c>
      <c r="R3" s="2">
        <f t="shared" ca="1" si="0"/>
        <v>156</v>
      </c>
      <c r="S3" s="2">
        <f t="shared" ca="1" si="0"/>
        <v>427</v>
      </c>
      <c r="T3" s="2">
        <f t="shared" ca="1" si="0"/>
        <v>100</v>
      </c>
      <c r="U3" s="2">
        <f t="shared" ca="1" si="0"/>
        <v>887</v>
      </c>
      <c r="V3" s="6" t="s">
        <v>18</v>
      </c>
    </row>
    <row r="4" spans="1:22" x14ac:dyDescent="0.2">
      <c r="A4" t="s">
        <v>2</v>
      </c>
      <c r="B4" s="2">
        <f t="shared" ca="1" si="1"/>
        <v>289.6650390625</v>
      </c>
      <c r="C4" s="2">
        <f t="shared" ca="1" si="1"/>
        <v>550</v>
      </c>
      <c r="D4" s="2">
        <f t="shared" ca="1" si="1"/>
        <v>236</v>
      </c>
      <c r="E4" s="2">
        <f t="shared" ca="1" si="1"/>
        <v>483</v>
      </c>
      <c r="F4" s="2">
        <f t="shared" ca="1" si="1"/>
        <v>207</v>
      </c>
      <c r="G4" s="2">
        <f t="shared" ca="1" si="1"/>
        <v>278</v>
      </c>
      <c r="H4" s="2">
        <f t="shared" ca="1" si="1"/>
        <v>630</v>
      </c>
      <c r="I4" s="2">
        <f t="shared" ca="1" si="1"/>
        <v>247</v>
      </c>
      <c r="J4" s="2">
        <f t="shared" ca="1" si="1"/>
        <v>271</v>
      </c>
      <c r="K4" s="2">
        <f t="shared" ca="1" si="1"/>
        <v>116</v>
      </c>
      <c r="L4" s="2">
        <f t="shared" ca="1" si="0"/>
        <v>602</v>
      </c>
      <c r="M4" s="2">
        <f t="shared" ca="1" si="0"/>
        <v>395</v>
      </c>
      <c r="N4" s="2">
        <f t="shared" ca="1" si="0"/>
        <v>427</v>
      </c>
      <c r="O4" s="2">
        <f t="shared" ca="1" si="0"/>
        <v>382</v>
      </c>
      <c r="P4" s="2">
        <f t="shared" ca="1" si="0"/>
        <v>411</v>
      </c>
      <c r="Q4" s="2">
        <f t="shared" ca="1" si="0"/>
        <v>695</v>
      </c>
      <c r="R4" s="2">
        <f t="shared" ca="1" si="0"/>
        <v>866</v>
      </c>
      <c r="S4" s="2">
        <f t="shared" ca="1" si="0"/>
        <v>100</v>
      </c>
      <c r="T4" s="2">
        <f t="shared" ca="1" si="0"/>
        <v>444</v>
      </c>
      <c r="U4" s="2">
        <f t="shared" ca="1" si="0"/>
        <v>924</v>
      </c>
      <c r="V4" s="6" t="s">
        <v>19</v>
      </c>
    </row>
    <row r="5" spans="1:22" x14ac:dyDescent="0.2">
      <c r="A5" t="s">
        <v>3</v>
      </c>
      <c r="B5" s="2">
        <f t="shared" ca="1" si="1"/>
        <v>919.3770751953125</v>
      </c>
      <c r="C5" s="2">
        <f t="shared" ca="1" si="1"/>
        <v>683</v>
      </c>
      <c r="D5" s="2">
        <f t="shared" ca="1" si="1"/>
        <v>469</v>
      </c>
      <c r="E5" s="2">
        <f t="shared" ca="1" si="1"/>
        <v>38</v>
      </c>
      <c r="F5" s="2">
        <f t="shared" ca="1" si="1"/>
        <v>402</v>
      </c>
      <c r="G5" s="2">
        <f t="shared" ca="1" si="1"/>
        <v>104</v>
      </c>
      <c r="H5" s="2">
        <f t="shared" ca="1" si="1"/>
        <v>474</v>
      </c>
      <c r="I5" s="2">
        <f t="shared" ca="1" si="1"/>
        <v>460</v>
      </c>
      <c r="J5" s="2">
        <f t="shared" ca="1" si="1"/>
        <v>642</v>
      </c>
      <c r="K5" s="2">
        <f t="shared" ca="1" si="1"/>
        <v>492</v>
      </c>
      <c r="L5" s="2">
        <f t="shared" ca="1" si="0"/>
        <v>15</v>
      </c>
      <c r="M5" s="2">
        <f t="shared" ca="1" si="0"/>
        <v>155</v>
      </c>
      <c r="N5" s="2">
        <f t="shared" ca="1" si="0"/>
        <v>481</v>
      </c>
      <c r="O5" s="2">
        <f t="shared" ca="1" si="0"/>
        <v>69</v>
      </c>
      <c r="P5" s="2">
        <f t="shared" ca="1" si="0"/>
        <v>236</v>
      </c>
      <c r="Q5" s="2">
        <f t="shared" ca="1" si="0"/>
        <v>664</v>
      </c>
      <c r="R5" s="2">
        <f t="shared" ca="1" si="0"/>
        <v>688</v>
      </c>
      <c r="S5" s="2">
        <f t="shared" ca="1" si="0"/>
        <v>972</v>
      </c>
      <c r="T5" s="2">
        <f t="shared" ca="1" si="0"/>
        <v>119</v>
      </c>
      <c r="U5" s="2">
        <f t="shared" ca="1" si="0"/>
        <v>298</v>
      </c>
      <c r="V5" s="6" t="s">
        <v>20</v>
      </c>
    </row>
    <row r="6" spans="1:22" x14ac:dyDescent="0.2">
      <c r="A6" t="s">
        <v>4</v>
      </c>
      <c r="B6" s="2">
        <f t="shared" ca="1" si="1"/>
        <v>631.742431640625</v>
      </c>
      <c r="C6" s="2">
        <f t="shared" ca="1" si="1"/>
        <v>123</v>
      </c>
      <c r="D6" s="2">
        <f t="shared" ca="1" si="1"/>
        <v>57</v>
      </c>
      <c r="E6" s="2">
        <f t="shared" ca="1" si="1"/>
        <v>931</v>
      </c>
      <c r="F6" s="2">
        <f t="shared" ca="1" si="1"/>
        <v>441</v>
      </c>
      <c r="G6" s="2">
        <f t="shared" ca="1" si="1"/>
        <v>516</v>
      </c>
      <c r="H6" s="2">
        <f t="shared" ca="1" si="1"/>
        <v>459</v>
      </c>
      <c r="I6" s="2">
        <f t="shared" ca="1" si="1"/>
        <v>384</v>
      </c>
      <c r="J6" s="2">
        <f t="shared" ca="1" si="1"/>
        <v>224</v>
      </c>
      <c r="K6" s="2">
        <f t="shared" ca="1" si="1"/>
        <v>304</v>
      </c>
      <c r="L6" s="2">
        <f t="shared" ca="1" si="0"/>
        <v>452</v>
      </c>
      <c r="M6" s="2">
        <f t="shared" ca="1" si="0"/>
        <v>738</v>
      </c>
      <c r="N6" s="2">
        <f t="shared" ca="1" si="0"/>
        <v>731</v>
      </c>
      <c r="O6" s="2">
        <f t="shared" ca="1" si="0"/>
        <v>992</v>
      </c>
      <c r="P6" s="2">
        <f t="shared" ca="1" si="0"/>
        <v>411</v>
      </c>
      <c r="Q6" s="2">
        <f t="shared" ca="1" si="0"/>
        <v>356</v>
      </c>
      <c r="R6" s="2">
        <f t="shared" ca="1" si="0"/>
        <v>62</v>
      </c>
      <c r="S6" s="2">
        <f t="shared" ca="1" si="0"/>
        <v>599</v>
      </c>
      <c r="T6" s="2">
        <f t="shared" ca="1" si="0"/>
        <v>495</v>
      </c>
      <c r="U6" s="2">
        <f t="shared" ca="1" si="0"/>
        <v>756</v>
      </c>
      <c r="V6" s="6" t="s">
        <v>21</v>
      </c>
    </row>
    <row r="7" spans="1:22" x14ac:dyDescent="0.2">
      <c r="A7" t="s">
        <v>5</v>
      </c>
      <c r="B7" s="2">
        <f t="shared" ca="1" si="1"/>
        <v>627.64202880859375</v>
      </c>
      <c r="C7" s="2">
        <f t="shared" ca="1" si="1"/>
        <v>682</v>
      </c>
      <c r="D7" s="2">
        <f t="shared" ca="1" si="1"/>
        <v>505</v>
      </c>
      <c r="E7" s="2">
        <f t="shared" ca="1" si="1"/>
        <v>620</v>
      </c>
      <c r="F7" s="2">
        <f t="shared" ca="1" si="1"/>
        <v>995</v>
      </c>
      <c r="G7" s="2">
        <f t="shared" ca="1" si="1"/>
        <v>250</v>
      </c>
      <c r="H7" s="2">
        <f t="shared" ca="1" si="1"/>
        <v>862</v>
      </c>
      <c r="I7" s="2">
        <f t="shared" ca="1" si="1"/>
        <v>321</v>
      </c>
      <c r="J7" s="2">
        <f t="shared" ca="1" si="1"/>
        <v>817</v>
      </c>
      <c r="K7" s="2">
        <f t="shared" ca="1" si="1"/>
        <v>327</v>
      </c>
      <c r="L7" s="2">
        <f t="shared" ca="1" si="0"/>
        <v>508</v>
      </c>
      <c r="M7" s="2">
        <f t="shared" ca="1" si="0"/>
        <v>798</v>
      </c>
      <c r="N7" s="2">
        <f t="shared" ca="1" si="0"/>
        <v>93</v>
      </c>
      <c r="O7" s="2">
        <f t="shared" ca="1" si="0"/>
        <v>795</v>
      </c>
      <c r="P7" s="2">
        <f t="shared" ca="1" si="0"/>
        <v>230</v>
      </c>
      <c r="Q7" s="2">
        <f t="shared" ca="1" si="0"/>
        <v>299</v>
      </c>
      <c r="R7" s="2">
        <f t="shared" ca="1" si="0"/>
        <v>418</v>
      </c>
      <c r="S7" s="2">
        <f t="shared" ca="1" si="0"/>
        <v>235</v>
      </c>
      <c r="T7" s="2">
        <f t="shared" ca="1" si="0"/>
        <v>696</v>
      </c>
      <c r="U7" s="2">
        <f t="shared" ca="1" si="0"/>
        <v>174</v>
      </c>
      <c r="V7" s="6" t="s">
        <v>22</v>
      </c>
    </row>
    <row r="8" spans="1:22" x14ac:dyDescent="0.2">
      <c r="A8" t="s">
        <v>6</v>
      </c>
      <c r="B8" s="2">
        <f t="shared" ca="1" si="1"/>
        <v>428.45635986328125</v>
      </c>
      <c r="C8" s="2">
        <f t="shared" ca="1" si="1"/>
        <v>890</v>
      </c>
      <c r="D8" s="2">
        <f t="shared" ca="1" si="1"/>
        <v>994</v>
      </c>
      <c r="E8" s="2">
        <f t="shared" ca="1" si="1"/>
        <v>700</v>
      </c>
      <c r="F8" s="2">
        <f t="shared" ca="1" si="1"/>
        <v>163</v>
      </c>
      <c r="G8" s="2">
        <f t="shared" ca="1" si="1"/>
        <v>533</v>
      </c>
      <c r="H8" s="2">
        <f t="shared" ca="1" si="1"/>
        <v>144</v>
      </c>
      <c r="I8" s="2">
        <f t="shared" ca="1" si="1"/>
        <v>169</v>
      </c>
      <c r="J8" s="2">
        <f t="shared" ca="1" si="1"/>
        <v>445</v>
      </c>
      <c r="K8" s="2">
        <f t="shared" ca="1" si="1"/>
        <v>588</v>
      </c>
      <c r="L8" s="2">
        <f t="shared" ca="1" si="0"/>
        <v>211</v>
      </c>
      <c r="M8" s="2">
        <f t="shared" ca="1" si="0"/>
        <v>861</v>
      </c>
      <c r="N8" s="2">
        <f t="shared" ca="1" si="0"/>
        <v>677</v>
      </c>
      <c r="O8" s="2">
        <f t="shared" ca="1" si="0"/>
        <v>46</v>
      </c>
      <c r="P8" s="2">
        <f t="shared" ca="1" si="0"/>
        <v>190</v>
      </c>
      <c r="Q8" s="2">
        <f t="shared" ca="1" si="0"/>
        <v>110</v>
      </c>
      <c r="R8" s="2">
        <f t="shared" ca="1" si="0"/>
        <v>266</v>
      </c>
      <c r="S8" s="2">
        <f t="shared" ca="1" si="0"/>
        <v>772</v>
      </c>
      <c r="T8" s="2">
        <f t="shared" ca="1" si="0"/>
        <v>431</v>
      </c>
      <c r="U8" s="2">
        <f t="shared" ca="1" si="0"/>
        <v>894</v>
      </c>
      <c r="V8" s="6" t="s">
        <v>23</v>
      </c>
    </row>
    <row r="9" spans="1:22" x14ac:dyDescent="0.2">
      <c r="A9" t="s">
        <v>7</v>
      </c>
      <c r="B9" s="2">
        <f t="shared" ca="1" si="1"/>
        <v>97.973823547363281</v>
      </c>
      <c r="C9" s="2">
        <f t="shared" ca="1" si="1"/>
        <v>836</v>
      </c>
      <c r="D9" s="2">
        <f t="shared" ca="1" si="1"/>
        <v>331</v>
      </c>
      <c r="E9" s="2">
        <f t="shared" ca="1" si="1"/>
        <v>223</v>
      </c>
      <c r="F9" s="2">
        <f t="shared" ca="1" si="1"/>
        <v>336</v>
      </c>
      <c r="G9" s="2">
        <f t="shared" ca="1" si="1"/>
        <v>98</v>
      </c>
      <c r="H9" s="2">
        <f t="shared" ca="1" si="1"/>
        <v>472</v>
      </c>
      <c r="I9" s="2">
        <f t="shared" ca="1" si="1"/>
        <v>893</v>
      </c>
      <c r="J9" s="2">
        <f t="shared" ca="1" si="1"/>
        <v>78</v>
      </c>
      <c r="K9" s="2">
        <f t="shared" ca="1" si="1"/>
        <v>869</v>
      </c>
      <c r="L9" s="2">
        <f t="shared" ca="1" si="0"/>
        <v>33</v>
      </c>
      <c r="M9" s="2">
        <f t="shared" ca="1" si="0"/>
        <v>612</v>
      </c>
      <c r="N9" s="2">
        <f t="shared" ca="1" si="0"/>
        <v>475</v>
      </c>
      <c r="O9" s="2">
        <f t="shared" ca="1" si="0"/>
        <v>71</v>
      </c>
      <c r="P9" s="2">
        <f t="shared" ca="1" si="0"/>
        <v>514</v>
      </c>
      <c r="Q9" s="2">
        <f t="shared" ca="1" si="0"/>
        <v>750</v>
      </c>
      <c r="R9" s="2">
        <f t="shared" ca="1" si="0"/>
        <v>262</v>
      </c>
      <c r="S9" s="2">
        <f t="shared" ca="1" si="0"/>
        <v>514</v>
      </c>
      <c r="T9" s="2">
        <f t="shared" ca="1" si="0"/>
        <v>710</v>
      </c>
      <c r="U9" s="2">
        <f t="shared" ca="1" si="0"/>
        <v>259</v>
      </c>
      <c r="V9" s="6" t="s">
        <v>24</v>
      </c>
    </row>
    <row r="10" spans="1:22" x14ac:dyDescent="0.2">
      <c r="A10" t="s">
        <v>8</v>
      </c>
      <c r="B10" s="2">
        <f t="shared" ca="1" si="1"/>
        <v>561.04010009765625</v>
      </c>
      <c r="C10" s="2">
        <f t="shared" ca="1" si="1"/>
        <v>782</v>
      </c>
      <c r="D10" s="2">
        <f t="shared" ca="1" si="1"/>
        <v>611</v>
      </c>
      <c r="E10" s="2">
        <f t="shared" ca="1" si="1"/>
        <v>677</v>
      </c>
      <c r="F10" s="2">
        <f t="shared" ca="1" si="1"/>
        <v>92</v>
      </c>
      <c r="G10" s="2">
        <f t="shared" ca="1" si="1"/>
        <v>105</v>
      </c>
      <c r="H10" s="2">
        <f t="shared" ca="1" si="1"/>
        <v>578</v>
      </c>
      <c r="I10" s="2">
        <f t="shared" ca="1" si="1"/>
        <v>829</v>
      </c>
      <c r="J10" s="2">
        <f t="shared" ca="1" si="1"/>
        <v>233</v>
      </c>
      <c r="K10" s="2">
        <f t="shared" ca="1" si="1"/>
        <v>395</v>
      </c>
      <c r="L10" s="2">
        <f t="shared" ca="1" si="0"/>
        <v>689</v>
      </c>
      <c r="M10" s="2">
        <f t="shared" ca="1" si="0"/>
        <v>647</v>
      </c>
      <c r="N10" s="2">
        <f t="shared" ca="1" si="0"/>
        <v>178</v>
      </c>
      <c r="O10" s="2">
        <f t="shared" ca="1" si="0"/>
        <v>272</v>
      </c>
      <c r="P10" s="2">
        <f t="shared" ca="1" si="0"/>
        <v>401</v>
      </c>
      <c r="Q10" s="2">
        <f t="shared" ca="1" si="0"/>
        <v>358</v>
      </c>
      <c r="R10" s="2">
        <f t="shared" ca="1" si="0"/>
        <v>82</v>
      </c>
      <c r="S10" s="2">
        <f t="shared" ca="1" si="0"/>
        <v>957</v>
      </c>
      <c r="T10" s="2">
        <f t="shared" ca="1" si="0"/>
        <v>310</v>
      </c>
      <c r="U10" s="2">
        <f t="shared" ca="1" si="0"/>
        <v>358</v>
      </c>
      <c r="V10" s="6" t="s">
        <v>25</v>
      </c>
    </row>
    <row r="11" spans="1:22" x14ac:dyDescent="0.2">
      <c r="A11" t="s">
        <v>9</v>
      </c>
      <c r="B11" s="2">
        <f t="shared" ca="1" si="1"/>
        <v>694.48529052734375</v>
      </c>
      <c r="C11" s="2">
        <f t="shared" ca="1" si="1"/>
        <v>960</v>
      </c>
      <c r="D11" s="2">
        <f t="shared" ca="1" si="1"/>
        <v>91</v>
      </c>
      <c r="E11" s="2">
        <f t="shared" ca="1" si="1"/>
        <v>922</v>
      </c>
      <c r="F11" s="2">
        <f t="shared" ca="1" si="1"/>
        <v>765</v>
      </c>
      <c r="G11" s="2">
        <f t="shared" ca="1" si="1"/>
        <v>937</v>
      </c>
      <c r="H11" s="2">
        <f t="shared" ca="1" si="1"/>
        <v>620</v>
      </c>
      <c r="I11" s="2">
        <f t="shared" ca="1" si="1"/>
        <v>425</v>
      </c>
      <c r="J11" s="2">
        <f t="shared" ca="1" si="1"/>
        <v>175</v>
      </c>
      <c r="K11" s="2">
        <f t="shared" ca="1" si="1"/>
        <v>741</v>
      </c>
      <c r="L11" s="2">
        <f t="shared" ca="1" si="0"/>
        <v>450</v>
      </c>
      <c r="M11" s="2">
        <f t="shared" ca="1" si="0"/>
        <v>151</v>
      </c>
      <c r="N11" s="2">
        <f t="shared" ca="1" si="0"/>
        <v>401</v>
      </c>
      <c r="O11" s="2">
        <f t="shared" ca="1" si="0"/>
        <v>214</v>
      </c>
      <c r="P11" s="2">
        <f t="shared" ca="1" si="0"/>
        <v>511</v>
      </c>
      <c r="Q11" s="2">
        <f t="shared" ca="1" si="0"/>
        <v>706</v>
      </c>
      <c r="R11" s="2">
        <f t="shared" ca="1" si="0"/>
        <v>328</v>
      </c>
      <c r="S11" s="2">
        <f t="shared" ca="1" si="0"/>
        <v>65</v>
      </c>
      <c r="T11" s="2">
        <f t="shared" ca="1" si="0"/>
        <v>153</v>
      </c>
      <c r="U11" s="2">
        <f t="shared" ca="1" si="0"/>
        <v>674</v>
      </c>
      <c r="V11" s="6" t="s">
        <v>26</v>
      </c>
    </row>
    <row r="12" spans="1:22" x14ac:dyDescent="0.2">
      <c r="A12" t="s">
        <v>10</v>
      </c>
      <c r="B12" s="2">
        <f t="shared" ca="1" si="1"/>
        <v>913.71759033203125</v>
      </c>
      <c r="C12" s="2">
        <f t="shared" ca="1" si="1"/>
        <v>478</v>
      </c>
      <c r="D12" s="2">
        <f t="shared" ca="1" si="1"/>
        <v>464</v>
      </c>
      <c r="E12" s="2">
        <f t="shared" ca="1" si="1"/>
        <v>369</v>
      </c>
      <c r="F12" s="2">
        <f t="shared" ca="1" si="1"/>
        <v>247</v>
      </c>
      <c r="G12" s="2">
        <f t="shared" ca="1" si="1"/>
        <v>473</v>
      </c>
      <c r="H12" s="2">
        <f t="shared" ca="1" si="1"/>
        <v>268</v>
      </c>
      <c r="I12" s="2">
        <f t="shared" ca="1" si="1"/>
        <v>721</v>
      </c>
      <c r="J12" s="2">
        <f t="shared" ca="1" si="1"/>
        <v>733</v>
      </c>
      <c r="K12" s="2">
        <f t="shared" ca="1" si="1"/>
        <v>429</v>
      </c>
      <c r="L12" s="2">
        <f t="shared" ca="1" si="0"/>
        <v>471</v>
      </c>
      <c r="M12" s="2">
        <f t="shared" ca="1" si="0"/>
        <v>299</v>
      </c>
      <c r="N12" s="2">
        <f t="shared" ca="1" si="0"/>
        <v>723</v>
      </c>
      <c r="O12" s="2">
        <f t="shared" ca="1" si="0"/>
        <v>411</v>
      </c>
      <c r="P12" s="2">
        <f t="shared" ca="1" si="0"/>
        <v>534</v>
      </c>
      <c r="Q12" s="2">
        <f t="shared" ca="1" si="0"/>
        <v>313</v>
      </c>
      <c r="R12" s="2">
        <f t="shared" ca="1" si="0"/>
        <v>73</v>
      </c>
      <c r="S12" s="2">
        <f t="shared" ca="1" si="0"/>
        <v>969</v>
      </c>
      <c r="T12" s="2">
        <f t="shared" ca="1" si="0"/>
        <v>924</v>
      </c>
      <c r="U12" s="2">
        <f t="shared" ca="1" si="0"/>
        <v>788</v>
      </c>
      <c r="V12" s="6" t="s">
        <v>27</v>
      </c>
    </row>
    <row r="13" spans="1:22" s="4" customFormat="1" x14ac:dyDescent="0.2">
      <c r="A13" s="4" t="s">
        <v>11</v>
      </c>
      <c r="B13" s="5">
        <f t="shared" ca="1" si="1"/>
        <v>834.81719970703125</v>
      </c>
      <c r="C13" s="5">
        <f t="shared" ca="1" si="1"/>
        <v>178</v>
      </c>
      <c r="D13" s="5">
        <f t="shared" ca="1" si="1"/>
        <v>287</v>
      </c>
      <c r="E13" s="5">
        <f t="shared" ca="1" si="1"/>
        <v>360</v>
      </c>
      <c r="F13" s="5">
        <f t="shared" ca="1" si="1"/>
        <v>47</v>
      </c>
      <c r="G13" s="5">
        <f t="shared" ca="1" si="1"/>
        <v>72</v>
      </c>
      <c r="H13" s="5">
        <f t="shared" ca="1" si="1"/>
        <v>681</v>
      </c>
      <c r="I13" s="5">
        <f t="shared" ca="1" si="1"/>
        <v>366</v>
      </c>
      <c r="J13" s="5">
        <f t="shared" ca="1" si="1"/>
        <v>549</v>
      </c>
      <c r="K13" s="5">
        <f t="shared" ca="1" si="1"/>
        <v>886</v>
      </c>
      <c r="L13" s="5">
        <f t="shared" ca="1" si="0"/>
        <v>163</v>
      </c>
      <c r="M13" s="5">
        <f t="shared" ca="1" si="0"/>
        <v>695</v>
      </c>
      <c r="N13" s="5">
        <f t="shared" ca="1" si="0"/>
        <v>893</v>
      </c>
      <c r="O13" s="5">
        <f t="shared" ca="1" si="0"/>
        <v>414</v>
      </c>
      <c r="P13" s="5">
        <f t="shared" ca="1" si="0"/>
        <v>755</v>
      </c>
      <c r="Q13" s="5">
        <f t="shared" ca="1" si="0"/>
        <v>964</v>
      </c>
      <c r="R13" s="5">
        <f t="shared" ca="1" si="0"/>
        <v>912</v>
      </c>
      <c r="S13" s="5">
        <f t="shared" ca="1" si="0"/>
        <v>362</v>
      </c>
      <c r="T13" s="5">
        <f t="shared" ca="1" si="0"/>
        <v>78</v>
      </c>
      <c r="U13" s="5">
        <f t="shared" ca="1" si="0"/>
        <v>451</v>
      </c>
      <c r="V13" s="7" t="s">
        <v>28</v>
      </c>
    </row>
    <row r="14" spans="1:22" x14ac:dyDescent="0.2">
      <c r="A14" s="1" t="s">
        <v>12</v>
      </c>
      <c r="B14" s="3">
        <f ca="1">SUM(B2:B13)</f>
        <v>7163.0317153930664</v>
      </c>
      <c r="C14" s="3">
        <f t="shared" ref="C14:K14" ca="1" si="2">SUM(C2:C13)</f>
        <v>7963</v>
      </c>
      <c r="D14" s="3">
        <f t="shared" ca="1" si="2"/>
        <v>5203</v>
      </c>
      <c r="E14" s="3">
        <f t="shared" ca="1" si="2"/>
        <v>6288</v>
      </c>
      <c r="F14" s="3">
        <f t="shared" ca="1" si="2"/>
        <v>4543</v>
      </c>
      <c r="G14" s="3">
        <f t="shared" ca="1" si="2"/>
        <v>4456</v>
      </c>
      <c r="H14" s="3">
        <f t="shared" ca="1" si="2"/>
        <v>6264</v>
      </c>
      <c r="I14" s="3">
        <f t="shared" ca="1" si="2"/>
        <v>5593</v>
      </c>
      <c r="J14" s="3">
        <f t="shared" ca="1" si="2"/>
        <v>5202</v>
      </c>
      <c r="K14" s="3">
        <f t="shared" ca="1" si="2"/>
        <v>6011</v>
      </c>
      <c r="L14" s="3">
        <f t="shared" ref="L14:U14" ca="1" si="3">SUM(L2:L13)</f>
        <v>3993</v>
      </c>
      <c r="M14" s="3">
        <f t="shared" ca="1" si="3"/>
        <v>5952</v>
      </c>
      <c r="N14" s="3">
        <f t="shared" ca="1" si="3"/>
        <v>6532</v>
      </c>
      <c r="O14" s="3">
        <f t="shared" ca="1" si="3"/>
        <v>5431</v>
      </c>
      <c r="P14" s="3">
        <f t="shared" ca="1" si="3"/>
        <v>5843</v>
      </c>
      <c r="Q14" s="3">
        <f t="shared" ca="1" si="3"/>
        <v>6014</v>
      </c>
      <c r="R14" s="3">
        <f t="shared" ca="1" si="3"/>
        <v>4239</v>
      </c>
      <c r="S14" s="3">
        <f t="shared" ca="1" si="3"/>
        <v>6772</v>
      </c>
      <c r="T14" s="3">
        <f t="shared" ca="1" si="3"/>
        <v>4652</v>
      </c>
      <c r="U14" s="3">
        <f t="shared" ca="1" si="3"/>
        <v>7347</v>
      </c>
    </row>
    <row r="15" spans="1:22" s="9" customFormat="1" x14ac:dyDescent="0.2">
      <c r="A15" s="8" t="s">
        <v>47</v>
      </c>
      <c r="B15" s="10">
        <f ca="1">SUM(INDIRECT("'"&amp;B$1&amp;"'!"&amp;"B2:B13"))</f>
        <v>7163.0317153930664</v>
      </c>
      <c r="C15" s="10">
        <f t="shared" ref="C15:U15" ca="1" si="4">SUM(INDIRECT("'"&amp;C$1&amp;"'!"&amp;"B2:B13"))</f>
        <v>7963</v>
      </c>
      <c r="D15" s="10">
        <f t="shared" ca="1" si="4"/>
        <v>5203</v>
      </c>
      <c r="E15" s="10">
        <f t="shared" ca="1" si="4"/>
        <v>6288</v>
      </c>
      <c r="F15" s="10">
        <f t="shared" ca="1" si="4"/>
        <v>4543</v>
      </c>
      <c r="G15" s="10">
        <f t="shared" ca="1" si="4"/>
        <v>4456</v>
      </c>
      <c r="H15" s="10">
        <f t="shared" ca="1" si="4"/>
        <v>6264</v>
      </c>
      <c r="I15" s="10">
        <f t="shared" ca="1" si="4"/>
        <v>5593</v>
      </c>
      <c r="J15" s="10">
        <f t="shared" ca="1" si="4"/>
        <v>5202</v>
      </c>
      <c r="K15" s="10">
        <f t="shared" ca="1" si="4"/>
        <v>6011</v>
      </c>
      <c r="L15" s="10">
        <f t="shared" ca="1" si="4"/>
        <v>3993</v>
      </c>
      <c r="M15" s="10">
        <f t="shared" ca="1" si="4"/>
        <v>5952</v>
      </c>
      <c r="N15" s="10">
        <f t="shared" ca="1" si="4"/>
        <v>6532</v>
      </c>
      <c r="O15" s="10">
        <f t="shared" ca="1" si="4"/>
        <v>5431</v>
      </c>
      <c r="P15" s="10">
        <f t="shared" ca="1" si="4"/>
        <v>5843</v>
      </c>
      <c r="Q15" s="10">
        <f t="shared" ca="1" si="4"/>
        <v>6014</v>
      </c>
      <c r="R15" s="10">
        <f t="shared" ca="1" si="4"/>
        <v>4239</v>
      </c>
      <c r="S15" s="10">
        <f t="shared" ca="1" si="4"/>
        <v>6772</v>
      </c>
      <c r="T15" s="10">
        <f t="shared" ca="1" si="4"/>
        <v>4652</v>
      </c>
      <c r="U15" s="10">
        <f t="shared" ca="1" si="4"/>
        <v>7347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B13"/>
  <sheetViews>
    <sheetView workbookViewId="0">
      <selection activeCell="A14" sqref="A14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785.21221923828125</v>
      </c>
    </row>
    <row r="3" spans="1:2" x14ac:dyDescent="0.2">
      <c r="A3" t="s">
        <v>79</v>
      </c>
      <c r="B3">
        <v>378.90255737304688</v>
      </c>
    </row>
    <row r="4" spans="1:2" x14ac:dyDescent="0.2">
      <c r="A4" t="s">
        <v>80</v>
      </c>
      <c r="B4">
        <v>289.6650390625</v>
      </c>
    </row>
    <row r="5" spans="1:2" x14ac:dyDescent="0.2">
      <c r="A5" t="s">
        <v>81</v>
      </c>
      <c r="B5">
        <v>919.3770751953125</v>
      </c>
    </row>
    <row r="6" spans="1:2" x14ac:dyDescent="0.2">
      <c r="A6" t="s">
        <v>82</v>
      </c>
      <c r="B6">
        <v>631.742431640625</v>
      </c>
    </row>
    <row r="7" spans="1:2" x14ac:dyDescent="0.2">
      <c r="A7" t="s">
        <v>83</v>
      </c>
      <c r="B7">
        <v>627.64202880859375</v>
      </c>
    </row>
    <row r="8" spans="1:2" x14ac:dyDescent="0.2">
      <c r="A8" t="s">
        <v>84</v>
      </c>
      <c r="B8">
        <v>428.45635986328125</v>
      </c>
    </row>
    <row r="9" spans="1:2" x14ac:dyDescent="0.2">
      <c r="A9" t="s">
        <v>85</v>
      </c>
      <c r="B9">
        <v>97.973823547363281</v>
      </c>
    </row>
    <row r="10" spans="1:2" x14ac:dyDescent="0.2">
      <c r="A10" t="s">
        <v>87</v>
      </c>
      <c r="B10">
        <v>561.04010009765625</v>
      </c>
    </row>
    <row r="11" spans="1:2" x14ac:dyDescent="0.2">
      <c r="A11" t="s">
        <v>86</v>
      </c>
      <c r="B11">
        <v>694.48529052734375</v>
      </c>
    </row>
    <row r="12" spans="1:2" x14ac:dyDescent="0.2">
      <c r="A12" t="s">
        <v>88</v>
      </c>
      <c r="B12">
        <v>913.71759033203125</v>
      </c>
    </row>
    <row r="13" spans="1:2" x14ac:dyDescent="0.2">
      <c r="A13" t="s">
        <v>89</v>
      </c>
      <c r="B13">
        <v>834.81719970703125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13"/>
  <sheetViews>
    <sheetView workbookViewId="0">
      <selection activeCell="B2" sqref="B2:B13"/>
    </sheetView>
  </sheetViews>
  <sheetFormatPr baseColWidth="10" defaultColWidth="8.83203125" defaultRowHeight="15" x14ac:dyDescent="0.2"/>
  <cols>
    <col min="2" max="2" width="10.6640625" bestFit="1" customWidth="1"/>
  </cols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 s="52">
        <v>931</v>
      </c>
    </row>
    <row r="3" spans="1:2" x14ac:dyDescent="0.2">
      <c r="A3" t="s">
        <v>79</v>
      </c>
      <c r="B3" s="52">
        <v>870</v>
      </c>
    </row>
    <row r="4" spans="1:2" x14ac:dyDescent="0.2">
      <c r="A4" t="s">
        <v>80</v>
      </c>
      <c r="B4" s="52">
        <v>550</v>
      </c>
    </row>
    <row r="5" spans="1:2" x14ac:dyDescent="0.2">
      <c r="A5" t="s">
        <v>81</v>
      </c>
      <c r="B5" s="52">
        <v>683</v>
      </c>
    </row>
    <row r="6" spans="1:2" x14ac:dyDescent="0.2">
      <c r="A6" t="s">
        <v>82</v>
      </c>
      <c r="B6" s="52">
        <v>123</v>
      </c>
    </row>
    <row r="7" spans="1:2" x14ac:dyDescent="0.2">
      <c r="A7" t="s">
        <v>83</v>
      </c>
      <c r="B7" s="52">
        <v>682</v>
      </c>
    </row>
    <row r="8" spans="1:2" x14ac:dyDescent="0.2">
      <c r="A8" t="s">
        <v>84</v>
      </c>
      <c r="B8" s="52">
        <v>890</v>
      </c>
    </row>
    <row r="9" spans="1:2" x14ac:dyDescent="0.2">
      <c r="A9" t="s">
        <v>85</v>
      </c>
      <c r="B9" s="52">
        <v>836</v>
      </c>
    </row>
    <row r="10" spans="1:2" x14ac:dyDescent="0.2">
      <c r="A10" t="s">
        <v>87</v>
      </c>
      <c r="B10" s="52">
        <v>782</v>
      </c>
    </row>
    <row r="11" spans="1:2" x14ac:dyDescent="0.2">
      <c r="A11" t="s">
        <v>86</v>
      </c>
      <c r="B11" s="52">
        <v>960</v>
      </c>
    </row>
    <row r="12" spans="1:2" x14ac:dyDescent="0.2">
      <c r="A12" t="s">
        <v>88</v>
      </c>
      <c r="B12" s="52">
        <v>478</v>
      </c>
    </row>
    <row r="13" spans="1:2" x14ac:dyDescent="0.2">
      <c r="A13" t="s">
        <v>89</v>
      </c>
      <c r="B13" s="52">
        <v>178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13"/>
  <sheetViews>
    <sheetView workbookViewId="0"/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617</v>
      </c>
    </row>
    <row r="3" spans="1:2" x14ac:dyDescent="0.2">
      <c r="A3" t="s">
        <v>79</v>
      </c>
      <c r="B3">
        <v>541</v>
      </c>
    </row>
    <row r="4" spans="1:2" x14ac:dyDescent="0.2">
      <c r="A4" t="s">
        <v>80</v>
      </c>
      <c r="B4">
        <v>236</v>
      </c>
    </row>
    <row r="5" spans="1:2" x14ac:dyDescent="0.2">
      <c r="A5" t="s">
        <v>81</v>
      </c>
      <c r="B5">
        <v>469</v>
      </c>
    </row>
    <row r="6" spans="1:2" x14ac:dyDescent="0.2">
      <c r="A6" t="s">
        <v>82</v>
      </c>
      <c r="B6">
        <v>57</v>
      </c>
    </row>
    <row r="7" spans="1:2" x14ac:dyDescent="0.2">
      <c r="A7" t="s">
        <v>83</v>
      </c>
      <c r="B7">
        <v>505</v>
      </c>
    </row>
    <row r="8" spans="1:2" x14ac:dyDescent="0.2">
      <c r="A8" t="s">
        <v>84</v>
      </c>
      <c r="B8">
        <v>994</v>
      </c>
    </row>
    <row r="9" spans="1:2" x14ac:dyDescent="0.2">
      <c r="A9" t="s">
        <v>85</v>
      </c>
      <c r="B9">
        <v>331</v>
      </c>
    </row>
    <row r="10" spans="1:2" x14ac:dyDescent="0.2">
      <c r="A10" t="s">
        <v>87</v>
      </c>
      <c r="B10">
        <v>611</v>
      </c>
    </row>
    <row r="11" spans="1:2" x14ac:dyDescent="0.2">
      <c r="A11" t="s">
        <v>86</v>
      </c>
      <c r="B11">
        <v>91</v>
      </c>
    </row>
    <row r="12" spans="1:2" x14ac:dyDescent="0.2">
      <c r="A12" t="s">
        <v>88</v>
      </c>
      <c r="B12">
        <v>464</v>
      </c>
    </row>
    <row r="13" spans="1:2" x14ac:dyDescent="0.2">
      <c r="A13" t="s">
        <v>89</v>
      </c>
      <c r="B13">
        <v>287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B13"/>
  <sheetViews>
    <sheetView workbookViewId="0">
      <selection sqref="A1:XFD1048576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381</v>
      </c>
    </row>
    <row r="3" spans="1:2" x14ac:dyDescent="0.2">
      <c r="A3" t="s">
        <v>79</v>
      </c>
      <c r="B3">
        <v>584</v>
      </c>
    </row>
    <row r="4" spans="1:2" x14ac:dyDescent="0.2">
      <c r="A4" t="s">
        <v>80</v>
      </c>
      <c r="B4">
        <v>483</v>
      </c>
    </row>
    <row r="5" spans="1:2" x14ac:dyDescent="0.2">
      <c r="A5" t="s">
        <v>81</v>
      </c>
      <c r="B5">
        <v>38</v>
      </c>
    </row>
    <row r="6" spans="1:2" x14ac:dyDescent="0.2">
      <c r="A6" t="s">
        <v>82</v>
      </c>
      <c r="B6">
        <v>931</v>
      </c>
    </row>
    <row r="7" spans="1:2" x14ac:dyDescent="0.2">
      <c r="A7" t="s">
        <v>83</v>
      </c>
      <c r="B7">
        <v>620</v>
      </c>
    </row>
    <row r="8" spans="1:2" x14ac:dyDescent="0.2">
      <c r="A8" t="s">
        <v>84</v>
      </c>
      <c r="B8">
        <v>700</v>
      </c>
    </row>
    <row r="9" spans="1:2" x14ac:dyDescent="0.2">
      <c r="A9" t="s">
        <v>85</v>
      </c>
      <c r="B9">
        <v>223</v>
      </c>
    </row>
    <row r="10" spans="1:2" x14ac:dyDescent="0.2">
      <c r="A10" t="s">
        <v>87</v>
      </c>
      <c r="B10">
        <v>677</v>
      </c>
    </row>
    <row r="11" spans="1:2" x14ac:dyDescent="0.2">
      <c r="A11" t="s">
        <v>86</v>
      </c>
      <c r="B11">
        <v>922</v>
      </c>
    </row>
    <row r="12" spans="1:2" x14ac:dyDescent="0.2">
      <c r="A12" t="s">
        <v>88</v>
      </c>
      <c r="B12">
        <v>369</v>
      </c>
    </row>
    <row r="13" spans="1:2" x14ac:dyDescent="0.2">
      <c r="A13" t="s">
        <v>89</v>
      </c>
      <c r="B13">
        <v>360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B13"/>
  <sheetViews>
    <sheetView workbookViewId="0">
      <selection sqref="A1:XFD1048576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254</v>
      </c>
    </row>
    <row r="3" spans="1:2" x14ac:dyDescent="0.2">
      <c r="A3" t="s">
        <v>79</v>
      </c>
      <c r="B3">
        <v>594</v>
      </c>
    </row>
    <row r="4" spans="1:2" x14ac:dyDescent="0.2">
      <c r="A4" t="s">
        <v>80</v>
      </c>
      <c r="B4">
        <v>207</v>
      </c>
    </row>
    <row r="5" spans="1:2" x14ac:dyDescent="0.2">
      <c r="A5" t="s">
        <v>81</v>
      </c>
      <c r="B5">
        <v>402</v>
      </c>
    </row>
    <row r="6" spans="1:2" x14ac:dyDescent="0.2">
      <c r="A6" t="s">
        <v>82</v>
      </c>
      <c r="B6">
        <v>441</v>
      </c>
    </row>
    <row r="7" spans="1:2" x14ac:dyDescent="0.2">
      <c r="A7" t="s">
        <v>83</v>
      </c>
      <c r="B7">
        <v>995</v>
      </c>
    </row>
    <row r="8" spans="1:2" x14ac:dyDescent="0.2">
      <c r="A8" t="s">
        <v>84</v>
      </c>
      <c r="B8">
        <v>163</v>
      </c>
    </row>
    <row r="9" spans="1:2" x14ac:dyDescent="0.2">
      <c r="A9" t="s">
        <v>85</v>
      </c>
      <c r="B9">
        <v>336</v>
      </c>
    </row>
    <row r="10" spans="1:2" x14ac:dyDescent="0.2">
      <c r="A10" t="s">
        <v>87</v>
      </c>
      <c r="B10">
        <v>92</v>
      </c>
    </row>
    <row r="11" spans="1:2" x14ac:dyDescent="0.2">
      <c r="A11" t="s">
        <v>86</v>
      </c>
      <c r="B11">
        <v>765</v>
      </c>
    </row>
    <row r="12" spans="1:2" x14ac:dyDescent="0.2">
      <c r="A12" t="s">
        <v>88</v>
      </c>
      <c r="B12">
        <v>247</v>
      </c>
    </row>
    <row r="13" spans="1:2" x14ac:dyDescent="0.2">
      <c r="A13" t="s">
        <v>89</v>
      </c>
      <c r="B13">
        <v>47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1:B13"/>
  <sheetViews>
    <sheetView workbookViewId="0">
      <selection sqref="A1:XFD1048576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359</v>
      </c>
    </row>
    <row r="3" spans="1:2" x14ac:dyDescent="0.2">
      <c r="A3" t="s">
        <v>79</v>
      </c>
      <c r="B3">
        <v>731</v>
      </c>
    </row>
    <row r="4" spans="1:2" x14ac:dyDescent="0.2">
      <c r="A4" t="s">
        <v>80</v>
      </c>
      <c r="B4">
        <v>278</v>
      </c>
    </row>
    <row r="5" spans="1:2" x14ac:dyDescent="0.2">
      <c r="A5" t="s">
        <v>81</v>
      </c>
      <c r="B5">
        <v>104</v>
      </c>
    </row>
    <row r="6" spans="1:2" x14ac:dyDescent="0.2">
      <c r="A6" t="s">
        <v>82</v>
      </c>
      <c r="B6">
        <v>516</v>
      </c>
    </row>
    <row r="7" spans="1:2" x14ac:dyDescent="0.2">
      <c r="A7" t="s">
        <v>83</v>
      </c>
      <c r="B7">
        <v>250</v>
      </c>
    </row>
    <row r="8" spans="1:2" x14ac:dyDescent="0.2">
      <c r="A8" t="s">
        <v>84</v>
      </c>
      <c r="B8">
        <v>533</v>
      </c>
    </row>
    <row r="9" spans="1:2" x14ac:dyDescent="0.2">
      <c r="A9" t="s">
        <v>85</v>
      </c>
      <c r="B9">
        <v>98</v>
      </c>
    </row>
    <row r="10" spans="1:2" x14ac:dyDescent="0.2">
      <c r="A10" t="s">
        <v>87</v>
      </c>
      <c r="B10">
        <v>105</v>
      </c>
    </row>
    <row r="11" spans="1:2" x14ac:dyDescent="0.2">
      <c r="A11" t="s">
        <v>86</v>
      </c>
      <c r="B11">
        <v>937</v>
      </c>
    </row>
    <row r="12" spans="1:2" x14ac:dyDescent="0.2">
      <c r="A12" t="s">
        <v>88</v>
      </c>
      <c r="B12">
        <v>473</v>
      </c>
    </row>
    <row r="13" spans="1:2" x14ac:dyDescent="0.2">
      <c r="A13" t="s">
        <v>89</v>
      </c>
      <c r="B13">
        <v>72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/>
  <dimension ref="A1:B13"/>
  <sheetViews>
    <sheetView workbookViewId="0">
      <selection sqref="A1:XFD1048576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298</v>
      </c>
    </row>
    <row r="3" spans="1:2" x14ac:dyDescent="0.2">
      <c r="A3" t="s">
        <v>79</v>
      </c>
      <c r="B3">
        <v>778</v>
      </c>
    </row>
    <row r="4" spans="1:2" x14ac:dyDescent="0.2">
      <c r="A4" t="s">
        <v>80</v>
      </c>
      <c r="B4">
        <v>630</v>
      </c>
    </row>
    <row r="5" spans="1:2" x14ac:dyDescent="0.2">
      <c r="A5" t="s">
        <v>81</v>
      </c>
      <c r="B5">
        <v>474</v>
      </c>
    </row>
    <row r="6" spans="1:2" x14ac:dyDescent="0.2">
      <c r="A6" t="s">
        <v>82</v>
      </c>
      <c r="B6">
        <v>459</v>
      </c>
    </row>
    <row r="7" spans="1:2" x14ac:dyDescent="0.2">
      <c r="A7" t="s">
        <v>83</v>
      </c>
      <c r="B7">
        <v>862</v>
      </c>
    </row>
    <row r="8" spans="1:2" x14ac:dyDescent="0.2">
      <c r="A8" t="s">
        <v>84</v>
      </c>
      <c r="B8">
        <v>144</v>
      </c>
    </row>
    <row r="9" spans="1:2" x14ac:dyDescent="0.2">
      <c r="A9" t="s">
        <v>85</v>
      </c>
      <c r="B9">
        <v>472</v>
      </c>
    </row>
    <row r="10" spans="1:2" x14ac:dyDescent="0.2">
      <c r="A10" t="s">
        <v>87</v>
      </c>
      <c r="B10">
        <v>578</v>
      </c>
    </row>
    <row r="11" spans="1:2" x14ac:dyDescent="0.2">
      <c r="A11" t="s">
        <v>86</v>
      </c>
      <c r="B11">
        <v>620</v>
      </c>
    </row>
    <row r="12" spans="1:2" x14ac:dyDescent="0.2">
      <c r="A12" t="s">
        <v>88</v>
      </c>
      <c r="B12">
        <v>268</v>
      </c>
    </row>
    <row r="13" spans="1:2" x14ac:dyDescent="0.2">
      <c r="A13" t="s">
        <v>89</v>
      </c>
      <c r="B13">
        <v>681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8"/>
  <dimension ref="A1:B13"/>
  <sheetViews>
    <sheetView workbookViewId="0">
      <selection sqref="A1:XFD1048576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152</v>
      </c>
    </row>
    <row r="3" spans="1:2" x14ac:dyDescent="0.2">
      <c r="A3" t="s">
        <v>79</v>
      </c>
      <c r="B3">
        <v>626</v>
      </c>
    </row>
    <row r="4" spans="1:2" x14ac:dyDescent="0.2">
      <c r="A4" t="s">
        <v>80</v>
      </c>
      <c r="B4">
        <v>247</v>
      </c>
    </row>
    <row r="5" spans="1:2" x14ac:dyDescent="0.2">
      <c r="A5" t="s">
        <v>81</v>
      </c>
      <c r="B5">
        <v>460</v>
      </c>
    </row>
    <row r="6" spans="1:2" x14ac:dyDescent="0.2">
      <c r="A6" t="s">
        <v>82</v>
      </c>
      <c r="B6">
        <v>384</v>
      </c>
    </row>
    <row r="7" spans="1:2" x14ac:dyDescent="0.2">
      <c r="A7" t="s">
        <v>83</v>
      </c>
      <c r="B7">
        <v>321</v>
      </c>
    </row>
    <row r="8" spans="1:2" x14ac:dyDescent="0.2">
      <c r="A8" t="s">
        <v>84</v>
      </c>
      <c r="B8">
        <v>169</v>
      </c>
    </row>
    <row r="9" spans="1:2" x14ac:dyDescent="0.2">
      <c r="A9" t="s">
        <v>85</v>
      </c>
      <c r="B9">
        <v>893</v>
      </c>
    </row>
    <row r="10" spans="1:2" x14ac:dyDescent="0.2">
      <c r="A10" t="s">
        <v>87</v>
      </c>
      <c r="B10">
        <v>829</v>
      </c>
    </row>
    <row r="11" spans="1:2" x14ac:dyDescent="0.2">
      <c r="A11" t="s">
        <v>86</v>
      </c>
      <c r="B11">
        <v>425</v>
      </c>
    </row>
    <row r="12" spans="1:2" x14ac:dyDescent="0.2">
      <c r="A12" t="s">
        <v>88</v>
      </c>
      <c r="B12">
        <v>721</v>
      </c>
    </row>
    <row r="13" spans="1:2" x14ac:dyDescent="0.2">
      <c r="A13" t="s">
        <v>89</v>
      </c>
      <c r="B13">
        <v>366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9"/>
  <dimension ref="A1:B13"/>
  <sheetViews>
    <sheetView workbookViewId="0">
      <selection sqref="A1:XFD1048576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104</v>
      </c>
    </row>
    <row r="3" spans="1:2" x14ac:dyDescent="0.2">
      <c r="A3" t="s">
        <v>79</v>
      </c>
      <c r="B3">
        <v>931</v>
      </c>
    </row>
    <row r="4" spans="1:2" x14ac:dyDescent="0.2">
      <c r="A4" t="s">
        <v>80</v>
      </c>
      <c r="B4">
        <v>271</v>
      </c>
    </row>
    <row r="5" spans="1:2" x14ac:dyDescent="0.2">
      <c r="A5" t="s">
        <v>81</v>
      </c>
      <c r="B5">
        <v>642</v>
      </c>
    </row>
    <row r="6" spans="1:2" x14ac:dyDescent="0.2">
      <c r="A6" t="s">
        <v>82</v>
      </c>
      <c r="B6">
        <v>224</v>
      </c>
    </row>
    <row r="7" spans="1:2" x14ac:dyDescent="0.2">
      <c r="A7" t="s">
        <v>83</v>
      </c>
      <c r="B7">
        <v>817</v>
      </c>
    </row>
    <row r="8" spans="1:2" x14ac:dyDescent="0.2">
      <c r="A8" t="s">
        <v>84</v>
      </c>
      <c r="B8">
        <v>445</v>
      </c>
    </row>
    <row r="9" spans="1:2" x14ac:dyDescent="0.2">
      <c r="A9" t="s">
        <v>85</v>
      </c>
      <c r="B9">
        <v>78</v>
      </c>
    </row>
    <row r="10" spans="1:2" x14ac:dyDescent="0.2">
      <c r="A10" t="s">
        <v>87</v>
      </c>
      <c r="B10">
        <v>233</v>
      </c>
    </row>
    <row r="11" spans="1:2" x14ac:dyDescent="0.2">
      <c r="A11" t="s">
        <v>86</v>
      </c>
      <c r="B11">
        <v>175</v>
      </c>
    </row>
    <row r="12" spans="1:2" x14ac:dyDescent="0.2">
      <c r="A12" t="s">
        <v>88</v>
      </c>
      <c r="B12">
        <v>733</v>
      </c>
    </row>
    <row r="13" spans="1:2" x14ac:dyDescent="0.2">
      <c r="A13" t="s">
        <v>89</v>
      </c>
      <c r="B13">
        <v>549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0"/>
  <dimension ref="A1:B13"/>
  <sheetViews>
    <sheetView workbookViewId="0">
      <selection sqref="A1:XFD1048576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124</v>
      </c>
    </row>
    <row r="3" spans="1:2" x14ac:dyDescent="0.2">
      <c r="A3" t="s">
        <v>79</v>
      </c>
      <c r="B3">
        <v>740</v>
      </c>
    </row>
    <row r="4" spans="1:2" x14ac:dyDescent="0.2">
      <c r="A4" t="s">
        <v>80</v>
      </c>
      <c r="B4">
        <v>116</v>
      </c>
    </row>
    <row r="5" spans="1:2" x14ac:dyDescent="0.2">
      <c r="A5" t="s">
        <v>81</v>
      </c>
      <c r="B5">
        <v>492</v>
      </c>
    </row>
    <row r="6" spans="1:2" x14ac:dyDescent="0.2">
      <c r="A6" t="s">
        <v>82</v>
      </c>
      <c r="B6">
        <v>304</v>
      </c>
    </row>
    <row r="7" spans="1:2" x14ac:dyDescent="0.2">
      <c r="A7" t="s">
        <v>83</v>
      </c>
      <c r="B7">
        <v>327</v>
      </c>
    </row>
    <row r="8" spans="1:2" x14ac:dyDescent="0.2">
      <c r="A8" t="s">
        <v>84</v>
      </c>
      <c r="B8">
        <v>588</v>
      </c>
    </row>
    <row r="9" spans="1:2" x14ac:dyDescent="0.2">
      <c r="A9" t="s">
        <v>85</v>
      </c>
      <c r="B9">
        <v>869</v>
      </c>
    </row>
    <row r="10" spans="1:2" x14ac:dyDescent="0.2">
      <c r="A10" t="s">
        <v>87</v>
      </c>
      <c r="B10">
        <v>395</v>
      </c>
    </row>
    <row r="11" spans="1:2" x14ac:dyDescent="0.2">
      <c r="A11" t="s">
        <v>86</v>
      </c>
      <c r="B11">
        <v>741</v>
      </c>
    </row>
    <row r="12" spans="1:2" x14ac:dyDescent="0.2">
      <c r="A12" t="s">
        <v>88</v>
      </c>
      <c r="B12">
        <v>429</v>
      </c>
    </row>
    <row r="13" spans="1:2" x14ac:dyDescent="0.2">
      <c r="A13" t="s">
        <v>89</v>
      </c>
      <c r="B13">
        <v>886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"/>
  <dimension ref="A1:B13"/>
  <sheetViews>
    <sheetView workbookViewId="0">
      <selection sqref="A1:XFD1048576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311</v>
      </c>
    </row>
    <row r="3" spans="1:2" x14ac:dyDescent="0.2">
      <c r="A3" t="s">
        <v>79</v>
      </c>
      <c r="B3">
        <v>88</v>
      </c>
    </row>
    <row r="4" spans="1:2" x14ac:dyDescent="0.2">
      <c r="A4" t="s">
        <v>80</v>
      </c>
      <c r="B4">
        <v>602</v>
      </c>
    </row>
    <row r="5" spans="1:2" x14ac:dyDescent="0.2">
      <c r="A5" t="s">
        <v>81</v>
      </c>
      <c r="B5">
        <v>15</v>
      </c>
    </row>
    <row r="6" spans="1:2" x14ac:dyDescent="0.2">
      <c r="A6" t="s">
        <v>82</v>
      </c>
      <c r="B6">
        <v>452</v>
      </c>
    </row>
    <row r="7" spans="1:2" x14ac:dyDescent="0.2">
      <c r="A7" t="s">
        <v>83</v>
      </c>
      <c r="B7">
        <v>508</v>
      </c>
    </row>
    <row r="8" spans="1:2" x14ac:dyDescent="0.2">
      <c r="A8" t="s">
        <v>84</v>
      </c>
      <c r="B8">
        <v>211</v>
      </c>
    </row>
    <row r="9" spans="1:2" x14ac:dyDescent="0.2">
      <c r="A9" t="s">
        <v>85</v>
      </c>
      <c r="B9">
        <v>33</v>
      </c>
    </row>
    <row r="10" spans="1:2" x14ac:dyDescent="0.2">
      <c r="A10" t="s">
        <v>87</v>
      </c>
      <c r="B10">
        <v>689</v>
      </c>
    </row>
    <row r="11" spans="1:2" x14ac:dyDescent="0.2">
      <c r="A11" t="s">
        <v>86</v>
      </c>
      <c r="B11">
        <v>450</v>
      </c>
    </row>
    <row r="12" spans="1:2" x14ac:dyDescent="0.2">
      <c r="A12" t="s">
        <v>88</v>
      </c>
      <c r="B12">
        <v>471</v>
      </c>
    </row>
    <row r="13" spans="1:2" x14ac:dyDescent="0.2">
      <c r="A13" t="s">
        <v>89</v>
      </c>
      <c r="B13">
        <v>163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5"/>
  <dimension ref="A1:B13"/>
  <sheetViews>
    <sheetView workbookViewId="0">
      <selection sqref="A1:XFD1048576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275</v>
      </c>
    </row>
    <row r="3" spans="1:2" x14ac:dyDescent="0.2">
      <c r="A3" t="s">
        <v>79</v>
      </c>
      <c r="B3">
        <v>326</v>
      </c>
    </row>
    <row r="4" spans="1:2" x14ac:dyDescent="0.2">
      <c r="A4" t="s">
        <v>80</v>
      </c>
      <c r="B4">
        <v>395</v>
      </c>
    </row>
    <row r="5" spans="1:2" x14ac:dyDescent="0.2">
      <c r="A5" t="s">
        <v>81</v>
      </c>
      <c r="B5">
        <v>155</v>
      </c>
    </row>
    <row r="6" spans="1:2" x14ac:dyDescent="0.2">
      <c r="A6" t="s">
        <v>82</v>
      </c>
      <c r="B6">
        <v>738</v>
      </c>
    </row>
    <row r="7" spans="1:2" x14ac:dyDescent="0.2">
      <c r="A7" t="s">
        <v>83</v>
      </c>
      <c r="B7">
        <v>798</v>
      </c>
    </row>
    <row r="8" spans="1:2" x14ac:dyDescent="0.2">
      <c r="A8" t="s">
        <v>84</v>
      </c>
      <c r="B8">
        <v>861</v>
      </c>
    </row>
    <row r="9" spans="1:2" x14ac:dyDescent="0.2">
      <c r="A9" t="s">
        <v>85</v>
      </c>
      <c r="B9">
        <v>612</v>
      </c>
    </row>
    <row r="10" spans="1:2" x14ac:dyDescent="0.2">
      <c r="A10" t="s">
        <v>87</v>
      </c>
      <c r="B10">
        <v>647</v>
      </c>
    </row>
    <row r="11" spans="1:2" x14ac:dyDescent="0.2">
      <c r="A11" t="s">
        <v>86</v>
      </c>
      <c r="B11">
        <v>151</v>
      </c>
    </row>
    <row r="12" spans="1:2" x14ac:dyDescent="0.2">
      <c r="A12" t="s">
        <v>88</v>
      </c>
      <c r="B12">
        <v>299</v>
      </c>
    </row>
    <row r="13" spans="1:2" x14ac:dyDescent="0.2">
      <c r="A13" t="s">
        <v>89</v>
      </c>
      <c r="B13">
        <v>695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A1:B13"/>
  <sheetViews>
    <sheetView workbookViewId="0">
      <selection sqref="A1:XFD1048576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937</v>
      </c>
    </row>
    <row r="3" spans="1:2" x14ac:dyDescent="0.2">
      <c r="A3" t="s">
        <v>79</v>
      </c>
      <c r="B3">
        <v>516</v>
      </c>
    </row>
    <row r="4" spans="1:2" x14ac:dyDescent="0.2">
      <c r="A4" t="s">
        <v>80</v>
      </c>
      <c r="B4">
        <v>427</v>
      </c>
    </row>
    <row r="5" spans="1:2" x14ac:dyDescent="0.2">
      <c r="A5" t="s">
        <v>81</v>
      </c>
      <c r="B5">
        <v>481</v>
      </c>
    </row>
    <row r="6" spans="1:2" x14ac:dyDescent="0.2">
      <c r="A6" t="s">
        <v>82</v>
      </c>
      <c r="B6">
        <v>731</v>
      </c>
    </row>
    <row r="7" spans="1:2" x14ac:dyDescent="0.2">
      <c r="A7" t="s">
        <v>83</v>
      </c>
      <c r="B7">
        <v>93</v>
      </c>
    </row>
    <row r="8" spans="1:2" x14ac:dyDescent="0.2">
      <c r="A8" t="s">
        <v>84</v>
      </c>
      <c r="B8">
        <v>677</v>
      </c>
    </row>
    <row r="9" spans="1:2" x14ac:dyDescent="0.2">
      <c r="A9" t="s">
        <v>85</v>
      </c>
      <c r="B9">
        <v>475</v>
      </c>
    </row>
    <row r="10" spans="1:2" x14ac:dyDescent="0.2">
      <c r="A10" t="s">
        <v>87</v>
      </c>
      <c r="B10">
        <v>178</v>
      </c>
    </row>
    <row r="11" spans="1:2" x14ac:dyDescent="0.2">
      <c r="A11" t="s">
        <v>86</v>
      </c>
      <c r="B11">
        <v>401</v>
      </c>
    </row>
    <row r="12" spans="1:2" x14ac:dyDescent="0.2">
      <c r="A12" t="s">
        <v>88</v>
      </c>
      <c r="B12">
        <v>723</v>
      </c>
    </row>
    <row r="13" spans="1:2" x14ac:dyDescent="0.2">
      <c r="A13" t="s">
        <v>89</v>
      </c>
      <c r="B13">
        <v>893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1"/>
  <dimension ref="A1:B13"/>
  <sheetViews>
    <sheetView workbookViewId="0">
      <selection sqref="A1:XFD1048576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821</v>
      </c>
    </row>
    <row r="3" spans="1:2" x14ac:dyDescent="0.2">
      <c r="A3" t="s">
        <v>79</v>
      </c>
      <c r="B3">
        <v>944</v>
      </c>
    </row>
    <row r="4" spans="1:2" x14ac:dyDescent="0.2">
      <c r="A4" t="s">
        <v>80</v>
      </c>
      <c r="B4">
        <v>382</v>
      </c>
    </row>
    <row r="5" spans="1:2" x14ac:dyDescent="0.2">
      <c r="A5" t="s">
        <v>81</v>
      </c>
      <c r="B5">
        <v>69</v>
      </c>
    </row>
    <row r="6" spans="1:2" x14ac:dyDescent="0.2">
      <c r="A6" t="s">
        <v>82</v>
      </c>
      <c r="B6">
        <v>992</v>
      </c>
    </row>
    <row r="7" spans="1:2" x14ac:dyDescent="0.2">
      <c r="A7" t="s">
        <v>83</v>
      </c>
      <c r="B7">
        <v>795</v>
      </c>
    </row>
    <row r="8" spans="1:2" x14ac:dyDescent="0.2">
      <c r="A8" t="s">
        <v>84</v>
      </c>
      <c r="B8">
        <v>46</v>
      </c>
    </row>
    <row r="9" spans="1:2" x14ac:dyDescent="0.2">
      <c r="A9" t="s">
        <v>85</v>
      </c>
      <c r="B9">
        <v>71</v>
      </c>
    </row>
    <row r="10" spans="1:2" x14ac:dyDescent="0.2">
      <c r="A10" t="s">
        <v>87</v>
      </c>
      <c r="B10">
        <v>272</v>
      </c>
    </row>
    <row r="11" spans="1:2" x14ac:dyDescent="0.2">
      <c r="A11" t="s">
        <v>86</v>
      </c>
      <c r="B11">
        <v>214</v>
      </c>
    </row>
    <row r="12" spans="1:2" x14ac:dyDescent="0.2">
      <c r="A12" t="s">
        <v>88</v>
      </c>
      <c r="B12">
        <v>411</v>
      </c>
    </row>
    <row r="13" spans="1:2" x14ac:dyDescent="0.2">
      <c r="A13" t="s">
        <v>89</v>
      </c>
      <c r="B13">
        <v>414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2"/>
  <dimension ref="A1:B13"/>
  <sheetViews>
    <sheetView workbookViewId="0">
      <selection sqref="A1:XFD1048576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725</v>
      </c>
    </row>
    <row r="3" spans="1:2" x14ac:dyDescent="0.2">
      <c r="A3" t="s">
        <v>79</v>
      </c>
      <c r="B3">
        <v>925</v>
      </c>
    </row>
    <row r="4" spans="1:2" x14ac:dyDescent="0.2">
      <c r="A4" t="s">
        <v>80</v>
      </c>
      <c r="B4">
        <v>411</v>
      </c>
    </row>
    <row r="5" spans="1:2" x14ac:dyDescent="0.2">
      <c r="A5" t="s">
        <v>81</v>
      </c>
      <c r="B5">
        <v>236</v>
      </c>
    </row>
    <row r="6" spans="1:2" x14ac:dyDescent="0.2">
      <c r="A6" t="s">
        <v>82</v>
      </c>
      <c r="B6">
        <v>411</v>
      </c>
    </row>
    <row r="7" spans="1:2" x14ac:dyDescent="0.2">
      <c r="A7" t="s">
        <v>83</v>
      </c>
      <c r="B7">
        <v>230</v>
      </c>
    </row>
    <row r="8" spans="1:2" x14ac:dyDescent="0.2">
      <c r="A8" t="s">
        <v>84</v>
      </c>
      <c r="B8">
        <v>190</v>
      </c>
    </row>
    <row r="9" spans="1:2" x14ac:dyDescent="0.2">
      <c r="A9" t="s">
        <v>85</v>
      </c>
      <c r="B9">
        <v>514</v>
      </c>
    </row>
    <row r="10" spans="1:2" x14ac:dyDescent="0.2">
      <c r="A10" t="s">
        <v>87</v>
      </c>
      <c r="B10">
        <v>401</v>
      </c>
    </row>
    <row r="11" spans="1:2" x14ac:dyDescent="0.2">
      <c r="A11" t="s">
        <v>86</v>
      </c>
      <c r="B11">
        <v>511</v>
      </c>
    </row>
    <row r="12" spans="1:2" x14ac:dyDescent="0.2">
      <c r="A12" t="s">
        <v>88</v>
      </c>
      <c r="B12">
        <v>534</v>
      </c>
    </row>
    <row r="13" spans="1:2" x14ac:dyDescent="0.2">
      <c r="A13" t="s">
        <v>89</v>
      </c>
      <c r="B13">
        <v>755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B13"/>
  <sheetViews>
    <sheetView workbookViewId="0">
      <selection sqref="A1:XFD1048576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127</v>
      </c>
    </row>
    <row r="3" spans="1:2" x14ac:dyDescent="0.2">
      <c r="A3" t="s">
        <v>79</v>
      </c>
      <c r="B3">
        <v>672</v>
      </c>
    </row>
    <row r="4" spans="1:2" x14ac:dyDescent="0.2">
      <c r="A4" t="s">
        <v>80</v>
      </c>
      <c r="B4">
        <v>695</v>
      </c>
    </row>
    <row r="5" spans="1:2" x14ac:dyDescent="0.2">
      <c r="A5" t="s">
        <v>81</v>
      </c>
      <c r="B5">
        <v>664</v>
      </c>
    </row>
    <row r="6" spans="1:2" x14ac:dyDescent="0.2">
      <c r="A6" t="s">
        <v>82</v>
      </c>
      <c r="B6">
        <v>356</v>
      </c>
    </row>
    <row r="7" spans="1:2" x14ac:dyDescent="0.2">
      <c r="A7" t="s">
        <v>83</v>
      </c>
      <c r="B7">
        <v>299</v>
      </c>
    </row>
    <row r="8" spans="1:2" x14ac:dyDescent="0.2">
      <c r="A8" t="s">
        <v>84</v>
      </c>
      <c r="B8">
        <v>110</v>
      </c>
    </row>
    <row r="9" spans="1:2" x14ac:dyDescent="0.2">
      <c r="A9" t="s">
        <v>85</v>
      </c>
      <c r="B9">
        <v>750</v>
      </c>
    </row>
    <row r="10" spans="1:2" x14ac:dyDescent="0.2">
      <c r="A10" t="s">
        <v>87</v>
      </c>
      <c r="B10">
        <v>358</v>
      </c>
    </row>
    <row r="11" spans="1:2" x14ac:dyDescent="0.2">
      <c r="A11" t="s">
        <v>86</v>
      </c>
      <c r="B11">
        <v>706</v>
      </c>
    </row>
    <row r="12" spans="1:2" x14ac:dyDescent="0.2">
      <c r="A12" t="s">
        <v>88</v>
      </c>
      <c r="B12">
        <v>313</v>
      </c>
    </row>
    <row r="13" spans="1:2" x14ac:dyDescent="0.2">
      <c r="A13" t="s">
        <v>89</v>
      </c>
      <c r="B13">
        <v>964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4"/>
  <dimension ref="A1:B13"/>
  <sheetViews>
    <sheetView workbookViewId="0">
      <selection sqref="A1:XFD1048576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126</v>
      </c>
    </row>
    <row r="3" spans="1:2" x14ac:dyDescent="0.2">
      <c r="A3" t="s">
        <v>79</v>
      </c>
      <c r="B3">
        <v>156</v>
      </c>
    </row>
    <row r="4" spans="1:2" x14ac:dyDescent="0.2">
      <c r="A4" t="s">
        <v>80</v>
      </c>
      <c r="B4">
        <v>866</v>
      </c>
    </row>
    <row r="5" spans="1:2" x14ac:dyDescent="0.2">
      <c r="A5" t="s">
        <v>81</v>
      </c>
      <c r="B5">
        <v>688</v>
      </c>
    </row>
    <row r="6" spans="1:2" x14ac:dyDescent="0.2">
      <c r="A6" t="s">
        <v>82</v>
      </c>
      <c r="B6">
        <v>62</v>
      </c>
    </row>
    <row r="7" spans="1:2" x14ac:dyDescent="0.2">
      <c r="A7" t="s">
        <v>83</v>
      </c>
      <c r="B7">
        <v>418</v>
      </c>
    </row>
    <row r="8" spans="1:2" x14ac:dyDescent="0.2">
      <c r="A8" t="s">
        <v>84</v>
      </c>
      <c r="B8">
        <v>266</v>
      </c>
    </row>
    <row r="9" spans="1:2" x14ac:dyDescent="0.2">
      <c r="A9" t="s">
        <v>85</v>
      </c>
      <c r="B9">
        <v>262</v>
      </c>
    </row>
    <row r="10" spans="1:2" x14ac:dyDescent="0.2">
      <c r="A10" t="s">
        <v>87</v>
      </c>
      <c r="B10">
        <v>82</v>
      </c>
    </row>
    <row r="11" spans="1:2" x14ac:dyDescent="0.2">
      <c r="A11" t="s">
        <v>86</v>
      </c>
      <c r="B11">
        <v>328</v>
      </c>
    </row>
    <row r="12" spans="1:2" x14ac:dyDescent="0.2">
      <c r="A12" t="s">
        <v>88</v>
      </c>
      <c r="B12">
        <v>73</v>
      </c>
    </row>
    <row r="13" spans="1:2" x14ac:dyDescent="0.2">
      <c r="A13" t="s">
        <v>89</v>
      </c>
      <c r="B13">
        <v>912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5"/>
  <dimension ref="A1:B13"/>
  <sheetViews>
    <sheetView workbookViewId="0">
      <selection sqref="A1:XFD1048576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800</v>
      </c>
    </row>
    <row r="3" spans="1:2" x14ac:dyDescent="0.2">
      <c r="A3" t="s">
        <v>79</v>
      </c>
      <c r="B3">
        <v>427</v>
      </c>
    </row>
    <row r="4" spans="1:2" x14ac:dyDescent="0.2">
      <c r="A4" t="s">
        <v>80</v>
      </c>
      <c r="B4">
        <v>100</v>
      </c>
    </row>
    <row r="5" spans="1:2" x14ac:dyDescent="0.2">
      <c r="A5" t="s">
        <v>81</v>
      </c>
      <c r="B5">
        <v>972</v>
      </c>
    </row>
    <row r="6" spans="1:2" x14ac:dyDescent="0.2">
      <c r="A6" t="s">
        <v>82</v>
      </c>
      <c r="B6">
        <v>599</v>
      </c>
    </row>
    <row r="7" spans="1:2" x14ac:dyDescent="0.2">
      <c r="A7" t="s">
        <v>83</v>
      </c>
      <c r="B7">
        <v>235</v>
      </c>
    </row>
    <row r="8" spans="1:2" x14ac:dyDescent="0.2">
      <c r="A8" t="s">
        <v>84</v>
      </c>
      <c r="B8">
        <v>772</v>
      </c>
    </row>
    <row r="9" spans="1:2" x14ac:dyDescent="0.2">
      <c r="A9" t="s">
        <v>85</v>
      </c>
      <c r="B9">
        <v>514</v>
      </c>
    </row>
    <row r="10" spans="1:2" x14ac:dyDescent="0.2">
      <c r="A10" t="s">
        <v>87</v>
      </c>
      <c r="B10">
        <v>957</v>
      </c>
    </row>
    <row r="11" spans="1:2" x14ac:dyDescent="0.2">
      <c r="A11" t="s">
        <v>86</v>
      </c>
      <c r="B11">
        <v>65</v>
      </c>
    </row>
    <row r="12" spans="1:2" x14ac:dyDescent="0.2">
      <c r="A12" t="s">
        <v>88</v>
      </c>
      <c r="B12">
        <v>969</v>
      </c>
    </row>
    <row r="13" spans="1:2" x14ac:dyDescent="0.2">
      <c r="A13" t="s">
        <v>89</v>
      </c>
      <c r="B13">
        <v>362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6"/>
  <dimension ref="A1:B13"/>
  <sheetViews>
    <sheetView workbookViewId="0">
      <selection sqref="A1:XFD1048576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192</v>
      </c>
    </row>
    <row r="3" spans="1:2" x14ac:dyDescent="0.2">
      <c r="A3" t="s">
        <v>79</v>
      </c>
      <c r="B3">
        <v>100</v>
      </c>
    </row>
    <row r="4" spans="1:2" x14ac:dyDescent="0.2">
      <c r="A4" t="s">
        <v>80</v>
      </c>
      <c r="B4">
        <v>444</v>
      </c>
    </row>
    <row r="5" spans="1:2" x14ac:dyDescent="0.2">
      <c r="A5" t="s">
        <v>81</v>
      </c>
      <c r="B5">
        <v>119</v>
      </c>
    </row>
    <row r="6" spans="1:2" x14ac:dyDescent="0.2">
      <c r="A6" t="s">
        <v>82</v>
      </c>
      <c r="B6">
        <v>495</v>
      </c>
    </row>
    <row r="7" spans="1:2" x14ac:dyDescent="0.2">
      <c r="A7" t="s">
        <v>83</v>
      </c>
      <c r="B7">
        <v>696</v>
      </c>
    </row>
    <row r="8" spans="1:2" x14ac:dyDescent="0.2">
      <c r="A8" t="s">
        <v>84</v>
      </c>
      <c r="B8">
        <v>431</v>
      </c>
    </row>
    <row r="9" spans="1:2" x14ac:dyDescent="0.2">
      <c r="A9" t="s">
        <v>85</v>
      </c>
      <c r="B9">
        <v>710</v>
      </c>
    </row>
    <row r="10" spans="1:2" x14ac:dyDescent="0.2">
      <c r="A10" t="s">
        <v>87</v>
      </c>
      <c r="B10">
        <v>310</v>
      </c>
    </row>
    <row r="11" spans="1:2" x14ac:dyDescent="0.2">
      <c r="A11" t="s">
        <v>86</v>
      </c>
      <c r="B11">
        <v>153</v>
      </c>
    </row>
    <row r="12" spans="1:2" x14ac:dyDescent="0.2">
      <c r="A12" t="s">
        <v>88</v>
      </c>
      <c r="B12">
        <v>924</v>
      </c>
    </row>
    <row r="13" spans="1:2" x14ac:dyDescent="0.2">
      <c r="A13" t="s">
        <v>89</v>
      </c>
      <c r="B13">
        <v>78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7"/>
  <dimension ref="A1:B13"/>
  <sheetViews>
    <sheetView workbookViewId="0">
      <selection activeCell="F21" sqref="F21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884</v>
      </c>
    </row>
    <row r="3" spans="1:2" x14ac:dyDescent="0.2">
      <c r="A3" t="s">
        <v>79</v>
      </c>
      <c r="B3">
        <v>887</v>
      </c>
    </row>
    <row r="4" spans="1:2" x14ac:dyDescent="0.2">
      <c r="A4" t="s">
        <v>80</v>
      </c>
      <c r="B4">
        <v>924</v>
      </c>
    </row>
    <row r="5" spans="1:2" x14ac:dyDescent="0.2">
      <c r="A5" t="s">
        <v>81</v>
      </c>
      <c r="B5">
        <v>298</v>
      </c>
    </row>
    <row r="6" spans="1:2" x14ac:dyDescent="0.2">
      <c r="A6" t="s">
        <v>82</v>
      </c>
      <c r="B6">
        <v>756</v>
      </c>
    </row>
    <row r="7" spans="1:2" x14ac:dyDescent="0.2">
      <c r="A7" t="s">
        <v>83</v>
      </c>
      <c r="B7">
        <v>174</v>
      </c>
    </row>
    <row r="8" spans="1:2" x14ac:dyDescent="0.2">
      <c r="A8" t="s">
        <v>84</v>
      </c>
      <c r="B8">
        <v>894</v>
      </c>
    </row>
    <row r="9" spans="1:2" x14ac:dyDescent="0.2">
      <c r="A9" t="s">
        <v>85</v>
      </c>
      <c r="B9">
        <v>259</v>
      </c>
    </row>
    <row r="10" spans="1:2" x14ac:dyDescent="0.2">
      <c r="A10" t="s">
        <v>87</v>
      </c>
      <c r="B10">
        <v>358</v>
      </c>
    </row>
    <row r="11" spans="1:2" x14ac:dyDescent="0.2">
      <c r="A11" t="s">
        <v>86</v>
      </c>
      <c r="B11">
        <v>674</v>
      </c>
    </row>
    <row r="12" spans="1:2" x14ac:dyDescent="0.2">
      <c r="A12" t="s">
        <v>88</v>
      </c>
      <c r="B12">
        <v>788</v>
      </c>
    </row>
    <row r="13" spans="1:2" x14ac:dyDescent="0.2">
      <c r="A13" t="s">
        <v>89</v>
      </c>
      <c r="B13">
        <v>451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7"/>
  <dimension ref="A1:DD602"/>
  <sheetViews>
    <sheetView workbookViewId="0">
      <selection activeCell="K107" sqref="K107"/>
    </sheetView>
  </sheetViews>
  <sheetFormatPr baseColWidth="10" defaultColWidth="8.83203125" defaultRowHeight="15" x14ac:dyDescent="0.2"/>
  <cols>
    <col min="1" max="1" width="12.33203125" bestFit="1" customWidth="1"/>
    <col min="2" max="2" width="19.1640625" bestFit="1" customWidth="1"/>
    <col min="4" max="4" width="12.33203125" bestFit="1" customWidth="1"/>
    <col min="8" max="8" width="13.5" style="27" bestFit="1" customWidth="1"/>
  </cols>
  <sheetData>
    <row r="1" spans="1:108" x14ac:dyDescent="0.2">
      <c r="A1" s="14" t="s">
        <v>66</v>
      </c>
      <c r="B1" s="14" t="s">
        <v>50</v>
      </c>
      <c r="D1" s="54" t="s">
        <v>67</v>
      </c>
      <c r="E1" s="55"/>
      <c r="F1" s="56"/>
      <c r="I1" s="1" t="s">
        <v>68</v>
      </c>
    </row>
    <row r="2" spans="1:108" x14ac:dyDescent="0.2">
      <c r="A2" s="11" t="s">
        <v>48</v>
      </c>
      <c r="B2" s="13">
        <v>0.6</v>
      </c>
      <c r="D2" s="15"/>
      <c r="E2" s="57" t="s">
        <v>66</v>
      </c>
      <c r="F2" s="58"/>
      <c r="H2" s="25" t="s">
        <v>69</v>
      </c>
      <c r="I2" s="63">
        <v>1</v>
      </c>
      <c r="J2" s="63">
        <v>2</v>
      </c>
      <c r="K2" s="63">
        <v>3</v>
      </c>
      <c r="L2" s="63">
        <v>4</v>
      </c>
      <c r="M2" s="63">
        <v>5</v>
      </c>
      <c r="N2" s="63">
        <v>6</v>
      </c>
      <c r="O2" s="63">
        <v>7</v>
      </c>
      <c r="P2" s="63">
        <v>8</v>
      </c>
      <c r="Q2" s="63">
        <v>9</v>
      </c>
      <c r="R2" s="63">
        <v>10</v>
      </c>
      <c r="S2" s="63">
        <v>11</v>
      </c>
      <c r="T2" s="63">
        <v>12</v>
      </c>
      <c r="U2" s="63">
        <v>13</v>
      </c>
      <c r="V2" s="63">
        <v>14</v>
      </c>
      <c r="W2" s="63">
        <v>15</v>
      </c>
      <c r="X2" s="63">
        <v>16</v>
      </c>
      <c r="Y2" s="63">
        <v>17</v>
      </c>
      <c r="Z2" s="63">
        <v>18</v>
      </c>
      <c r="AA2" s="63">
        <v>19</v>
      </c>
      <c r="AB2" s="63">
        <v>20</v>
      </c>
      <c r="AC2" s="63">
        <v>21</v>
      </c>
      <c r="AD2" s="63">
        <v>22</v>
      </c>
      <c r="AE2" s="63">
        <v>23</v>
      </c>
      <c r="AF2" s="63">
        <v>24</v>
      </c>
      <c r="AG2" s="63">
        <v>25</v>
      </c>
      <c r="AH2" s="63">
        <v>26</v>
      </c>
      <c r="AI2" s="63">
        <v>27</v>
      </c>
      <c r="AJ2" s="63">
        <v>28</v>
      </c>
      <c r="AK2" s="63">
        <v>29</v>
      </c>
      <c r="AL2" s="63">
        <v>30</v>
      </c>
      <c r="AM2" s="63">
        <v>31</v>
      </c>
      <c r="AN2" s="63">
        <v>32</v>
      </c>
      <c r="AO2" s="63">
        <v>33</v>
      </c>
      <c r="AP2" s="63">
        <v>34</v>
      </c>
      <c r="AQ2" s="63">
        <v>35</v>
      </c>
      <c r="AR2" s="63">
        <v>36</v>
      </c>
      <c r="AS2" s="63">
        <v>37</v>
      </c>
      <c r="AT2" s="63">
        <v>38</v>
      </c>
      <c r="AU2" s="63">
        <v>39</v>
      </c>
      <c r="AV2" s="63">
        <v>40</v>
      </c>
      <c r="AW2" s="63">
        <v>41</v>
      </c>
      <c r="AX2" s="63">
        <v>42</v>
      </c>
      <c r="AY2" s="63">
        <v>43</v>
      </c>
      <c r="AZ2" s="63">
        <v>44</v>
      </c>
      <c r="BA2" s="63">
        <v>45</v>
      </c>
      <c r="BB2" s="63">
        <v>46</v>
      </c>
      <c r="BC2" s="63">
        <v>47</v>
      </c>
      <c r="BD2" s="63">
        <v>48</v>
      </c>
      <c r="BE2" s="63">
        <v>49</v>
      </c>
      <c r="BF2" s="63">
        <v>50</v>
      </c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  <c r="CL2" s="26"/>
      <c r="CM2" s="26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</row>
    <row r="3" spans="1:108" x14ac:dyDescent="0.2">
      <c r="A3" s="11" t="s">
        <v>49</v>
      </c>
      <c r="B3" s="13">
        <v>0.4</v>
      </c>
      <c r="D3" s="16" t="s">
        <v>65</v>
      </c>
      <c r="E3" s="17" t="s">
        <v>48</v>
      </c>
      <c r="F3" s="18" t="s">
        <v>49</v>
      </c>
      <c r="H3" s="64">
        <v>1</v>
      </c>
      <c r="I3">
        <v>25</v>
      </c>
      <c r="J3">
        <v>168</v>
      </c>
      <c r="K3">
        <v>30</v>
      </c>
      <c r="L3">
        <v>140</v>
      </c>
      <c r="M3">
        <v>240</v>
      </c>
      <c r="N3">
        <v>20</v>
      </c>
      <c r="O3">
        <v>24</v>
      </c>
      <c r="P3">
        <v>35</v>
      </c>
      <c r="Q3">
        <v>140</v>
      </c>
      <c r="R3">
        <v>35</v>
      </c>
      <c r="S3">
        <v>24</v>
      </c>
      <c r="T3">
        <v>20</v>
      </c>
      <c r="U3">
        <v>240</v>
      </c>
      <c r="V3">
        <v>24</v>
      </c>
      <c r="W3">
        <v>96</v>
      </c>
      <c r="X3">
        <v>140</v>
      </c>
      <c r="Y3">
        <v>100</v>
      </c>
      <c r="Z3">
        <v>20</v>
      </c>
      <c r="AA3">
        <v>100</v>
      </c>
      <c r="AB3">
        <v>25</v>
      </c>
      <c r="AC3">
        <v>20</v>
      </c>
      <c r="AD3">
        <v>96</v>
      </c>
      <c r="AE3">
        <v>25</v>
      </c>
      <c r="AF3">
        <v>35</v>
      </c>
      <c r="AG3">
        <v>35</v>
      </c>
      <c r="AH3">
        <v>20</v>
      </c>
      <c r="AI3">
        <v>100</v>
      </c>
      <c r="AJ3">
        <v>35</v>
      </c>
      <c r="AK3">
        <v>20</v>
      </c>
      <c r="AL3">
        <v>100</v>
      </c>
      <c r="AM3">
        <v>100</v>
      </c>
      <c r="AN3">
        <v>42</v>
      </c>
      <c r="AO3">
        <v>120</v>
      </c>
      <c r="AP3">
        <v>70</v>
      </c>
      <c r="AQ3">
        <v>35</v>
      </c>
      <c r="AR3">
        <v>20</v>
      </c>
      <c r="AS3">
        <v>35</v>
      </c>
      <c r="AT3">
        <v>25</v>
      </c>
      <c r="AU3">
        <v>25</v>
      </c>
      <c r="AV3">
        <v>200</v>
      </c>
      <c r="AW3">
        <v>140</v>
      </c>
      <c r="AX3">
        <v>42</v>
      </c>
      <c r="AY3">
        <v>20</v>
      </c>
      <c r="AZ3">
        <v>80</v>
      </c>
      <c r="BA3">
        <v>24</v>
      </c>
      <c r="BB3">
        <v>140</v>
      </c>
      <c r="BC3">
        <v>24</v>
      </c>
      <c r="BD3">
        <v>42</v>
      </c>
      <c r="BE3">
        <v>100</v>
      </c>
      <c r="BF3">
        <v>35</v>
      </c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</row>
    <row r="4" spans="1:108" x14ac:dyDescent="0.2">
      <c r="D4" s="23" t="s">
        <v>57</v>
      </c>
      <c r="E4" s="19">
        <v>70</v>
      </c>
      <c r="F4" s="20">
        <v>84</v>
      </c>
      <c r="H4" s="64">
        <v>2</v>
      </c>
      <c r="I4">
        <v>70</v>
      </c>
      <c r="J4">
        <v>84</v>
      </c>
      <c r="K4">
        <v>20</v>
      </c>
      <c r="L4">
        <v>100</v>
      </c>
      <c r="M4">
        <v>35</v>
      </c>
      <c r="N4">
        <v>30</v>
      </c>
      <c r="O4">
        <v>140</v>
      </c>
      <c r="P4">
        <v>35</v>
      </c>
      <c r="Q4">
        <v>70</v>
      </c>
      <c r="R4">
        <v>100</v>
      </c>
      <c r="S4">
        <v>96</v>
      </c>
      <c r="T4">
        <v>35</v>
      </c>
      <c r="U4">
        <v>35</v>
      </c>
      <c r="V4">
        <v>42</v>
      </c>
      <c r="W4">
        <v>80</v>
      </c>
      <c r="X4">
        <v>25</v>
      </c>
      <c r="Y4">
        <v>30</v>
      </c>
      <c r="Z4">
        <v>25</v>
      </c>
      <c r="AA4">
        <v>42</v>
      </c>
      <c r="AB4">
        <v>120</v>
      </c>
      <c r="AC4">
        <v>24</v>
      </c>
      <c r="AD4">
        <v>60</v>
      </c>
      <c r="AE4">
        <v>20</v>
      </c>
      <c r="AF4">
        <v>20</v>
      </c>
      <c r="AG4">
        <v>20</v>
      </c>
      <c r="AH4">
        <v>84</v>
      </c>
      <c r="AI4">
        <v>140</v>
      </c>
      <c r="AJ4">
        <v>35</v>
      </c>
      <c r="AK4">
        <v>140</v>
      </c>
      <c r="AL4">
        <v>200</v>
      </c>
      <c r="AM4">
        <v>240</v>
      </c>
      <c r="AN4">
        <v>35</v>
      </c>
      <c r="AO4">
        <v>100</v>
      </c>
      <c r="AP4">
        <v>84</v>
      </c>
      <c r="AQ4">
        <v>24</v>
      </c>
      <c r="AR4">
        <v>100</v>
      </c>
      <c r="AS4">
        <v>100</v>
      </c>
      <c r="AT4">
        <v>42</v>
      </c>
      <c r="AU4">
        <v>120</v>
      </c>
      <c r="AV4">
        <v>35</v>
      </c>
      <c r="AW4">
        <v>25</v>
      </c>
      <c r="AX4">
        <v>20</v>
      </c>
      <c r="AY4">
        <v>35</v>
      </c>
      <c r="AZ4">
        <v>100</v>
      </c>
      <c r="BA4">
        <v>25</v>
      </c>
      <c r="BB4">
        <v>100</v>
      </c>
      <c r="BC4">
        <v>80</v>
      </c>
      <c r="BD4">
        <v>168</v>
      </c>
      <c r="BE4">
        <v>25</v>
      </c>
      <c r="BF4">
        <v>24</v>
      </c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</row>
    <row r="5" spans="1:108" x14ac:dyDescent="0.2">
      <c r="A5" s="14" t="s">
        <v>65</v>
      </c>
      <c r="B5" s="14" t="s">
        <v>50</v>
      </c>
      <c r="D5" s="23" t="s">
        <v>56</v>
      </c>
      <c r="E5" s="19">
        <v>80</v>
      </c>
      <c r="F5" s="20">
        <v>96</v>
      </c>
      <c r="H5" s="64">
        <v>3</v>
      </c>
      <c r="I5">
        <v>100</v>
      </c>
      <c r="J5">
        <v>30</v>
      </c>
      <c r="K5">
        <v>42</v>
      </c>
      <c r="L5">
        <v>25</v>
      </c>
      <c r="M5">
        <v>96</v>
      </c>
      <c r="N5">
        <v>30</v>
      </c>
      <c r="O5">
        <v>84</v>
      </c>
      <c r="P5">
        <v>20</v>
      </c>
      <c r="Q5">
        <v>35</v>
      </c>
      <c r="R5">
        <v>120</v>
      </c>
      <c r="S5">
        <v>42</v>
      </c>
      <c r="T5">
        <v>20</v>
      </c>
      <c r="U5">
        <v>50</v>
      </c>
      <c r="V5">
        <v>100</v>
      </c>
      <c r="W5">
        <v>20</v>
      </c>
      <c r="X5">
        <v>168</v>
      </c>
      <c r="Y5">
        <v>20</v>
      </c>
      <c r="Z5">
        <v>20</v>
      </c>
      <c r="AA5">
        <v>100</v>
      </c>
      <c r="AB5">
        <v>42</v>
      </c>
      <c r="AC5">
        <v>100</v>
      </c>
      <c r="AD5">
        <v>100</v>
      </c>
      <c r="AE5">
        <v>100</v>
      </c>
      <c r="AF5">
        <v>35</v>
      </c>
      <c r="AG5">
        <v>70</v>
      </c>
      <c r="AH5">
        <v>140</v>
      </c>
      <c r="AI5">
        <v>24</v>
      </c>
      <c r="AJ5">
        <v>200</v>
      </c>
      <c r="AK5">
        <v>84</v>
      </c>
      <c r="AL5">
        <v>240</v>
      </c>
      <c r="AM5">
        <v>168</v>
      </c>
      <c r="AN5">
        <v>140</v>
      </c>
      <c r="AO5">
        <v>35</v>
      </c>
      <c r="AP5">
        <v>35</v>
      </c>
      <c r="AQ5">
        <v>25</v>
      </c>
      <c r="AR5">
        <v>35</v>
      </c>
      <c r="AS5">
        <v>35</v>
      </c>
      <c r="AT5">
        <v>80</v>
      </c>
      <c r="AU5">
        <v>140</v>
      </c>
      <c r="AV5">
        <v>70</v>
      </c>
      <c r="AW5">
        <v>168</v>
      </c>
      <c r="AX5">
        <v>35</v>
      </c>
      <c r="AY5">
        <v>25</v>
      </c>
      <c r="AZ5">
        <v>20</v>
      </c>
      <c r="BA5">
        <v>35</v>
      </c>
      <c r="BB5">
        <v>35</v>
      </c>
      <c r="BC5">
        <v>70</v>
      </c>
      <c r="BD5">
        <v>100</v>
      </c>
      <c r="BE5">
        <v>100</v>
      </c>
      <c r="BF5">
        <v>42</v>
      </c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</row>
    <row r="6" spans="1:108" x14ac:dyDescent="0.2">
      <c r="A6" s="11" t="s">
        <v>57</v>
      </c>
      <c r="B6" s="12">
        <v>0.05</v>
      </c>
      <c r="C6" s="53">
        <f>B6</f>
        <v>0.05</v>
      </c>
      <c r="D6" s="23" t="s">
        <v>53</v>
      </c>
      <c r="E6" s="19">
        <v>100</v>
      </c>
      <c r="F6" s="20">
        <v>120</v>
      </c>
      <c r="H6" s="64">
        <v>4</v>
      </c>
      <c r="I6">
        <v>25</v>
      </c>
      <c r="J6">
        <v>20</v>
      </c>
      <c r="K6">
        <v>35</v>
      </c>
      <c r="L6">
        <v>80</v>
      </c>
      <c r="M6">
        <v>20</v>
      </c>
      <c r="N6">
        <v>35</v>
      </c>
      <c r="O6">
        <v>20</v>
      </c>
      <c r="P6">
        <v>140</v>
      </c>
      <c r="Q6">
        <v>20</v>
      </c>
      <c r="R6">
        <v>120</v>
      </c>
      <c r="S6">
        <v>80</v>
      </c>
      <c r="T6">
        <v>100</v>
      </c>
      <c r="U6">
        <v>120</v>
      </c>
      <c r="V6">
        <v>35</v>
      </c>
      <c r="W6">
        <v>35</v>
      </c>
      <c r="X6">
        <v>84</v>
      </c>
      <c r="Y6">
        <v>35</v>
      </c>
      <c r="Z6">
        <v>35</v>
      </c>
      <c r="AA6">
        <v>24</v>
      </c>
      <c r="AB6">
        <v>35</v>
      </c>
      <c r="AC6">
        <v>96</v>
      </c>
      <c r="AD6">
        <v>35</v>
      </c>
      <c r="AE6">
        <v>35</v>
      </c>
      <c r="AF6">
        <v>100</v>
      </c>
      <c r="AG6">
        <v>100</v>
      </c>
      <c r="AH6">
        <v>20</v>
      </c>
      <c r="AI6">
        <v>35</v>
      </c>
      <c r="AJ6">
        <v>35</v>
      </c>
      <c r="AK6">
        <v>24</v>
      </c>
      <c r="AL6">
        <v>20</v>
      </c>
      <c r="AM6">
        <v>24</v>
      </c>
      <c r="AN6">
        <v>25</v>
      </c>
      <c r="AO6">
        <v>24</v>
      </c>
      <c r="AP6">
        <v>30</v>
      </c>
      <c r="AQ6">
        <v>50</v>
      </c>
      <c r="AR6">
        <v>80</v>
      </c>
      <c r="AS6">
        <v>120</v>
      </c>
      <c r="AT6">
        <v>80</v>
      </c>
      <c r="AU6">
        <v>30</v>
      </c>
      <c r="AV6">
        <v>20</v>
      </c>
      <c r="AW6">
        <v>25</v>
      </c>
      <c r="AX6">
        <v>168</v>
      </c>
      <c r="AY6">
        <v>24</v>
      </c>
      <c r="AZ6">
        <v>100</v>
      </c>
      <c r="BA6">
        <v>100</v>
      </c>
      <c r="BB6">
        <v>24</v>
      </c>
      <c r="BC6">
        <v>140</v>
      </c>
      <c r="BD6">
        <v>35</v>
      </c>
      <c r="BE6">
        <v>80</v>
      </c>
      <c r="BF6">
        <v>35</v>
      </c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</row>
    <row r="7" spans="1:108" x14ac:dyDescent="0.2">
      <c r="A7" s="11" t="s">
        <v>56</v>
      </c>
      <c r="B7" s="12">
        <v>7.0000000000000007E-2</v>
      </c>
      <c r="C7" s="53">
        <f>B7+C6</f>
        <v>0.12000000000000001</v>
      </c>
      <c r="D7" s="23" t="s">
        <v>62</v>
      </c>
      <c r="E7" s="19">
        <v>20</v>
      </c>
      <c r="F7" s="20">
        <v>24</v>
      </c>
      <c r="H7" s="64">
        <v>5</v>
      </c>
      <c r="I7">
        <v>120</v>
      </c>
      <c r="J7">
        <v>100</v>
      </c>
      <c r="K7">
        <v>120</v>
      </c>
      <c r="L7">
        <v>70</v>
      </c>
      <c r="M7">
        <v>25</v>
      </c>
      <c r="N7">
        <v>120</v>
      </c>
      <c r="O7">
        <v>35</v>
      </c>
      <c r="P7">
        <v>96</v>
      </c>
      <c r="Q7">
        <v>120</v>
      </c>
      <c r="R7">
        <v>24</v>
      </c>
      <c r="S7">
        <v>120</v>
      </c>
      <c r="T7">
        <v>100</v>
      </c>
      <c r="U7">
        <v>30</v>
      </c>
      <c r="V7">
        <v>35</v>
      </c>
      <c r="W7">
        <v>42</v>
      </c>
      <c r="X7">
        <v>100</v>
      </c>
      <c r="Y7">
        <v>30</v>
      </c>
      <c r="Z7">
        <v>25</v>
      </c>
      <c r="AA7">
        <v>140</v>
      </c>
      <c r="AB7">
        <v>96</v>
      </c>
      <c r="AC7">
        <v>25</v>
      </c>
      <c r="AD7">
        <v>140</v>
      </c>
      <c r="AE7">
        <v>20</v>
      </c>
      <c r="AF7">
        <v>80</v>
      </c>
      <c r="AG7">
        <v>100</v>
      </c>
      <c r="AH7">
        <v>120</v>
      </c>
      <c r="AI7">
        <v>84</v>
      </c>
      <c r="AJ7">
        <v>80</v>
      </c>
      <c r="AK7">
        <v>120</v>
      </c>
      <c r="AL7">
        <v>100</v>
      </c>
      <c r="AM7">
        <v>30</v>
      </c>
      <c r="AN7">
        <v>24</v>
      </c>
      <c r="AO7">
        <v>25</v>
      </c>
      <c r="AP7">
        <v>35</v>
      </c>
      <c r="AQ7">
        <v>35</v>
      </c>
      <c r="AR7">
        <v>35</v>
      </c>
      <c r="AS7">
        <v>35</v>
      </c>
      <c r="AT7">
        <v>80</v>
      </c>
      <c r="AU7">
        <v>70</v>
      </c>
      <c r="AV7">
        <v>96</v>
      </c>
      <c r="AW7">
        <v>120</v>
      </c>
      <c r="AX7">
        <v>120</v>
      </c>
      <c r="AY7">
        <v>140</v>
      </c>
      <c r="AZ7">
        <v>140</v>
      </c>
      <c r="BA7">
        <v>20</v>
      </c>
      <c r="BB7">
        <v>100</v>
      </c>
      <c r="BC7">
        <v>80</v>
      </c>
      <c r="BD7">
        <v>35</v>
      </c>
      <c r="BE7">
        <v>96</v>
      </c>
      <c r="BF7">
        <v>35</v>
      </c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</row>
    <row r="8" spans="1:108" x14ac:dyDescent="0.2">
      <c r="A8" s="11" t="s">
        <v>53</v>
      </c>
      <c r="B8" s="12">
        <v>0.05</v>
      </c>
      <c r="C8" s="53">
        <f t="shared" ref="C8:C19" si="0">B8+C7</f>
        <v>0.17</v>
      </c>
      <c r="D8" s="23" t="s">
        <v>64</v>
      </c>
      <c r="E8" s="19">
        <v>35</v>
      </c>
      <c r="F8" s="20">
        <v>96</v>
      </c>
      <c r="H8" s="64">
        <v>6</v>
      </c>
      <c r="I8">
        <v>42</v>
      </c>
      <c r="J8">
        <v>25</v>
      </c>
      <c r="K8">
        <v>35</v>
      </c>
      <c r="L8">
        <v>35</v>
      </c>
      <c r="M8">
        <v>42</v>
      </c>
      <c r="N8">
        <v>168</v>
      </c>
      <c r="O8">
        <v>42</v>
      </c>
      <c r="P8">
        <v>168</v>
      </c>
      <c r="Q8">
        <v>140</v>
      </c>
      <c r="R8">
        <v>35</v>
      </c>
      <c r="S8">
        <v>80</v>
      </c>
      <c r="T8">
        <v>50</v>
      </c>
      <c r="U8">
        <v>100</v>
      </c>
      <c r="V8">
        <v>120</v>
      </c>
      <c r="W8">
        <v>25</v>
      </c>
      <c r="X8">
        <v>42</v>
      </c>
      <c r="Y8">
        <v>30</v>
      </c>
      <c r="Z8">
        <v>100</v>
      </c>
      <c r="AA8">
        <v>80</v>
      </c>
      <c r="AB8">
        <v>35</v>
      </c>
      <c r="AC8">
        <v>20</v>
      </c>
      <c r="AD8">
        <v>30</v>
      </c>
      <c r="AE8">
        <v>120</v>
      </c>
      <c r="AF8">
        <v>42</v>
      </c>
      <c r="AG8">
        <v>25</v>
      </c>
      <c r="AH8">
        <v>120</v>
      </c>
      <c r="AI8">
        <v>140</v>
      </c>
      <c r="AJ8">
        <v>20</v>
      </c>
      <c r="AK8">
        <v>35</v>
      </c>
      <c r="AL8">
        <v>20</v>
      </c>
      <c r="AM8">
        <v>200</v>
      </c>
      <c r="AN8">
        <v>120</v>
      </c>
      <c r="AO8">
        <v>24</v>
      </c>
      <c r="AP8">
        <v>24</v>
      </c>
      <c r="AQ8">
        <v>24</v>
      </c>
      <c r="AR8">
        <v>25</v>
      </c>
      <c r="AS8">
        <v>42</v>
      </c>
      <c r="AT8">
        <v>35</v>
      </c>
      <c r="AU8">
        <v>20</v>
      </c>
      <c r="AV8">
        <v>120</v>
      </c>
      <c r="AW8">
        <v>96</v>
      </c>
      <c r="AX8">
        <v>24</v>
      </c>
      <c r="AY8">
        <v>42</v>
      </c>
      <c r="AZ8">
        <v>96</v>
      </c>
      <c r="BA8">
        <v>20</v>
      </c>
      <c r="BB8">
        <v>50</v>
      </c>
      <c r="BC8">
        <v>35</v>
      </c>
      <c r="BD8">
        <v>100</v>
      </c>
      <c r="BE8">
        <v>25</v>
      </c>
      <c r="BF8">
        <v>25</v>
      </c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</row>
    <row r="9" spans="1:108" x14ac:dyDescent="0.2">
      <c r="A9" s="11" t="s">
        <v>62</v>
      </c>
      <c r="B9" s="12">
        <v>0.08</v>
      </c>
      <c r="C9" s="53">
        <f t="shared" si="0"/>
        <v>0.25</v>
      </c>
      <c r="D9" s="23" t="s">
        <v>58</v>
      </c>
      <c r="E9" s="19">
        <v>100</v>
      </c>
      <c r="F9" s="20">
        <v>25</v>
      </c>
      <c r="H9" s="64">
        <v>7</v>
      </c>
      <c r="I9">
        <v>35</v>
      </c>
      <c r="J9">
        <v>42</v>
      </c>
      <c r="K9">
        <v>35</v>
      </c>
      <c r="L9">
        <v>84</v>
      </c>
      <c r="M9">
        <v>35</v>
      </c>
      <c r="N9">
        <v>168</v>
      </c>
      <c r="O9">
        <v>120</v>
      </c>
      <c r="P9">
        <v>168</v>
      </c>
      <c r="Q9">
        <v>35</v>
      </c>
      <c r="R9">
        <v>20</v>
      </c>
      <c r="S9">
        <v>35</v>
      </c>
      <c r="T9">
        <v>168</v>
      </c>
      <c r="U9">
        <v>35</v>
      </c>
      <c r="V9">
        <v>20</v>
      </c>
      <c r="W9">
        <v>42</v>
      </c>
      <c r="X9">
        <v>120</v>
      </c>
      <c r="Y9">
        <v>140</v>
      </c>
      <c r="Z9">
        <v>25</v>
      </c>
      <c r="AA9">
        <v>42</v>
      </c>
      <c r="AB9">
        <v>35</v>
      </c>
      <c r="AC9">
        <v>24</v>
      </c>
      <c r="AD9">
        <v>35</v>
      </c>
      <c r="AE9">
        <v>30</v>
      </c>
      <c r="AF9">
        <v>100</v>
      </c>
      <c r="AG9">
        <v>25</v>
      </c>
      <c r="AH9">
        <v>42</v>
      </c>
      <c r="AI9">
        <v>120</v>
      </c>
      <c r="AJ9">
        <v>20</v>
      </c>
      <c r="AK9">
        <v>24</v>
      </c>
      <c r="AL9">
        <v>70</v>
      </c>
      <c r="AM9">
        <v>42</v>
      </c>
      <c r="AN9">
        <v>20</v>
      </c>
      <c r="AO9">
        <v>20</v>
      </c>
      <c r="AP9">
        <v>140</v>
      </c>
      <c r="AQ9">
        <v>20</v>
      </c>
      <c r="AR9">
        <v>84</v>
      </c>
      <c r="AS9">
        <v>24</v>
      </c>
      <c r="AT9">
        <v>35</v>
      </c>
      <c r="AU9">
        <v>35</v>
      </c>
      <c r="AV9">
        <v>80</v>
      </c>
      <c r="AW9">
        <v>24</v>
      </c>
      <c r="AX9">
        <v>24</v>
      </c>
      <c r="AY9">
        <v>168</v>
      </c>
      <c r="AZ9">
        <v>35</v>
      </c>
      <c r="BA9">
        <v>100</v>
      </c>
      <c r="BB9">
        <v>30</v>
      </c>
      <c r="BC9">
        <v>120</v>
      </c>
      <c r="BD9">
        <v>24</v>
      </c>
      <c r="BE9">
        <v>100</v>
      </c>
      <c r="BF9">
        <v>80</v>
      </c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</row>
    <row r="10" spans="1:108" x14ac:dyDescent="0.2">
      <c r="A10" s="11" t="s">
        <v>64</v>
      </c>
      <c r="B10" s="12">
        <v>0.01</v>
      </c>
      <c r="C10" s="53">
        <f t="shared" si="0"/>
        <v>0.26</v>
      </c>
      <c r="D10" s="23" t="s">
        <v>54</v>
      </c>
      <c r="E10" s="19">
        <v>100</v>
      </c>
      <c r="F10" s="20">
        <v>120</v>
      </c>
      <c r="H10" s="64">
        <v>8</v>
      </c>
      <c r="I10">
        <v>24</v>
      </c>
      <c r="J10">
        <v>120</v>
      </c>
      <c r="K10">
        <v>30</v>
      </c>
      <c r="L10">
        <v>100</v>
      </c>
      <c r="M10">
        <v>100</v>
      </c>
      <c r="N10">
        <v>80</v>
      </c>
      <c r="O10">
        <v>120</v>
      </c>
      <c r="P10">
        <v>120</v>
      </c>
      <c r="Q10">
        <v>24</v>
      </c>
      <c r="R10">
        <v>35</v>
      </c>
      <c r="S10">
        <v>42</v>
      </c>
      <c r="T10">
        <v>168</v>
      </c>
      <c r="U10">
        <v>168</v>
      </c>
      <c r="V10">
        <v>24</v>
      </c>
      <c r="W10">
        <v>24</v>
      </c>
      <c r="X10">
        <v>25</v>
      </c>
      <c r="Y10">
        <v>35</v>
      </c>
      <c r="Z10">
        <v>25</v>
      </c>
      <c r="AA10">
        <v>24</v>
      </c>
      <c r="AB10">
        <v>80</v>
      </c>
      <c r="AC10">
        <v>100</v>
      </c>
      <c r="AD10">
        <v>35</v>
      </c>
      <c r="AE10">
        <v>35</v>
      </c>
      <c r="AF10">
        <v>96</v>
      </c>
      <c r="AG10">
        <v>20</v>
      </c>
      <c r="AH10">
        <v>120</v>
      </c>
      <c r="AI10">
        <v>70</v>
      </c>
      <c r="AJ10">
        <v>25</v>
      </c>
      <c r="AK10">
        <v>35</v>
      </c>
      <c r="AL10">
        <v>200</v>
      </c>
      <c r="AM10">
        <v>96</v>
      </c>
      <c r="AN10">
        <v>24</v>
      </c>
      <c r="AO10">
        <v>35</v>
      </c>
      <c r="AP10">
        <v>100</v>
      </c>
      <c r="AQ10">
        <v>140</v>
      </c>
      <c r="AR10">
        <v>35</v>
      </c>
      <c r="AS10">
        <v>42</v>
      </c>
      <c r="AT10">
        <v>20</v>
      </c>
      <c r="AU10">
        <v>42</v>
      </c>
      <c r="AV10">
        <v>120</v>
      </c>
      <c r="AW10">
        <v>25</v>
      </c>
      <c r="AX10">
        <v>35</v>
      </c>
      <c r="AY10">
        <v>70</v>
      </c>
      <c r="AZ10">
        <v>25</v>
      </c>
      <c r="BA10">
        <v>35</v>
      </c>
      <c r="BB10">
        <v>20</v>
      </c>
      <c r="BC10">
        <v>80</v>
      </c>
      <c r="BD10">
        <v>100</v>
      </c>
      <c r="BE10">
        <v>200</v>
      </c>
      <c r="BF10">
        <v>24</v>
      </c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</row>
    <row r="11" spans="1:108" x14ac:dyDescent="0.2">
      <c r="A11" s="11" t="s">
        <v>58</v>
      </c>
      <c r="B11" s="12">
        <v>0.01</v>
      </c>
      <c r="C11" s="53">
        <f t="shared" si="0"/>
        <v>0.27</v>
      </c>
      <c r="D11" s="23" t="s">
        <v>63</v>
      </c>
      <c r="E11" s="19">
        <v>20</v>
      </c>
      <c r="F11" s="20">
        <v>24</v>
      </c>
      <c r="H11" s="64">
        <v>9</v>
      </c>
      <c r="I11">
        <v>120</v>
      </c>
      <c r="J11">
        <v>80</v>
      </c>
      <c r="K11">
        <v>168</v>
      </c>
      <c r="L11">
        <v>84</v>
      </c>
      <c r="M11">
        <v>35</v>
      </c>
      <c r="N11">
        <v>42</v>
      </c>
      <c r="O11">
        <v>140</v>
      </c>
      <c r="P11">
        <v>80</v>
      </c>
      <c r="Q11">
        <v>100</v>
      </c>
      <c r="R11">
        <v>20</v>
      </c>
      <c r="S11">
        <v>42</v>
      </c>
      <c r="T11">
        <v>20</v>
      </c>
      <c r="U11">
        <v>24</v>
      </c>
      <c r="V11">
        <v>100</v>
      </c>
      <c r="W11">
        <v>35</v>
      </c>
      <c r="X11">
        <v>60</v>
      </c>
      <c r="Y11">
        <v>120</v>
      </c>
      <c r="Z11">
        <v>100</v>
      </c>
      <c r="AA11">
        <v>30</v>
      </c>
      <c r="AB11">
        <v>42</v>
      </c>
      <c r="AC11">
        <v>20</v>
      </c>
      <c r="AD11">
        <v>24</v>
      </c>
      <c r="AE11">
        <v>25</v>
      </c>
      <c r="AF11">
        <v>42</v>
      </c>
      <c r="AG11">
        <v>35</v>
      </c>
      <c r="AH11">
        <v>120</v>
      </c>
      <c r="AI11">
        <v>35</v>
      </c>
      <c r="AJ11">
        <v>80</v>
      </c>
      <c r="AK11">
        <v>30</v>
      </c>
      <c r="AL11">
        <v>20</v>
      </c>
      <c r="AM11">
        <v>140</v>
      </c>
      <c r="AN11">
        <v>35</v>
      </c>
      <c r="AO11">
        <v>70</v>
      </c>
      <c r="AP11">
        <v>20</v>
      </c>
      <c r="AQ11">
        <v>35</v>
      </c>
      <c r="AR11">
        <v>42</v>
      </c>
      <c r="AS11">
        <v>35</v>
      </c>
      <c r="AT11">
        <v>100</v>
      </c>
      <c r="AU11">
        <v>30</v>
      </c>
      <c r="AV11">
        <v>80</v>
      </c>
      <c r="AW11">
        <v>100</v>
      </c>
      <c r="AX11">
        <v>96</v>
      </c>
      <c r="AY11">
        <v>100</v>
      </c>
      <c r="AZ11">
        <v>24</v>
      </c>
      <c r="BA11">
        <v>80</v>
      </c>
      <c r="BB11">
        <v>35</v>
      </c>
      <c r="BC11">
        <v>35</v>
      </c>
      <c r="BD11">
        <v>35</v>
      </c>
      <c r="BE11">
        <v>140</v>
      </c>
      <c r="BF11">
        <v>35</v>
      </c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</row>
    <row r="12" spans="1:108" x14ac:dyDescent="0.2">
      <c r="A12" s="11" t="s">
        <v>54</v>
      </c>
      <c r="B12" s="12">
        <v>6.5000000000000002E-2</v>
      </c>
      <c r="C12" s="53">
        <f t="shared" si="0"/>
        <v>0.33500000000000002</v>
      </c>
      <c r="D12" s="23" t="s">
        <v>60</v>
      </c>
      <c r="E12" s="19">
        <v>35</v>
      </c>
      <c r="F12" s="20">
        <v>42</v>
      </c>
      <c r="H12" s="64">
        <v>10</v>
      </c>
      <c r="I12">
        <v>35</v>
      </c>
      <c r="J12">
        <v>20</v>
      </c>
      <c r="K12">
        <v>20</v>
      </c>
      <c r="L12">
        <v>35</v>
      </c>
      <c r="M12">
        <v>24</v>
      </c>
      <c r="N12">
        <v>42</v>
      </c>
      <c r="O12">
        <v>120</v>
      </c>
      <c r="P12">
        <v>42</v>
      </c>
      <c r="Q12">
        <v>80</v>
      </c>
      <c r="R12">
        <v>35</v>
      </c>
      <c r="S12">
        <v>35</v>
      </c>
      <c r="T12">
        <v>140</v>
      </c>
      <c r="U12">
        <v>25</v>
      </c>
      <c r="V12">
        <v>35</v>
      </c>
      <c r="W12">
        <v>20</v>
      </c>
      <c r="X12">
        <v>50</v>
      </c>
      <c r="Y12">
        <v>168</v>
      </c>
      <c r="Z12">
        <v>25</v>
      </c>
      <c r="AA12">
        <v>35</v>
      </c>
      <c r="AB12">
        <v>35</v>
      </c>
      <c r="AC12">
        <v>35</v>
      </c>
      <c r="AD12">
        <v>35</v>
      </c>
      <c r="AE12">
        <v>42</v>
      </c>
      <c r="AF12">
        <v>35</v>
      </c>
      <c r="AG12">
        <v>70</v>
      </c>
      <c r="AH12">
        <v>35</v>
      </c>
      <c r="AI12">
        <v>80</v>
      </c>
      <c r="AJ12">
        <v>24</v>
      </c>
      <c r="AK12">
        <v>120</v>
      </c>
      <c r="AL12">
        <v>20</v>
      </c>
      <c r="AM12">
        <v>42</v>
      </c>
      <c r="AN12">
        <v>42</v>
      </c>
      <c r="AO12">
        <v>100</v>
      </c>
      <c r="AP12">
        <v>35</v>
      </c>
      <c r="AQ12">
        <v>100</v>
      </c>
      <c r="AR12">
        <v>140</v>
      </c>
      <c r="AS12">
        <v>35</v>
      </c>
      <c r="AT12">
        <v>140</v>
      </c>
      <c r="AU12">
        <v>168</v>
      </c>
      <c r="AV12">
        <v>35</v>
      </c>
      <c r="AW12">
        <v>80</v>
      </c>
      <c r="AX12">
        <v>35</v>
      </c>
      <c r="AY12">
        <v>42</v>
      </c>
      <c r="AZ12">
        <v>168</v>
      </c>
      <c r="BA12">
        <v>200</v>
      </c>
      <c r="BB12">
        <v>35</v>
      </c>
      <c r="BC12">
        <v>25</v>
      </c>
      <c r="BD12">
        <v>84</v>
      </c>
      <c r="BE12">
        <v>80</v>
      </c>
      <c r="BF12">
        <v>168</v>
      </c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</row>
    <row r="13" spans="1:108" x14ac:dyDescent="0.2">
      <c r="A13" s="11" t="s">
        <v>63</v>
      </c>
      <c r="B13" s="12">
        <v>0.1</v>
      </c>
      <c r="C13" s="53">
        <f t="shared" si="0"/>
        <v>0.43500000000000005</v>
      </c>
      <c r="D13" s="23" t="s">
        <v>51</v>
      </c>
      <c r="E13" s="19">
        <v>200</v>
      </c>
      <c r="F13" s="20">
        <v>240</v>
      </c>
      <c r="H13" s="64">
        <v>11</v>
      </c>
      <c r="I13">
        <v>80</v>
      </c>
      <c r="J13">
        <v>35</v>
      </c>
      <c r="K13">
        <v>25</v>
      </c>
      <c r="L13">
        <v>100</v>
      </c>
      <c r="M13">
        <v>100</v>
      </c>
      <c r="N13">
        <v>35</v>
      </c>
      <c r="O13">
        <v>25</v>
      </c>
      <c r="P13">
        <v>35</v>
      </c>
      <c r="Q13">
        <v>100</v>
      </c>
      <c r="R13">
        <v>20</v>
      </c>
      <c r="S13">
        <v>35</v>
      </c>
      <c r="T13">
        <v>35</v>
      </c>
      <c r="U13">
        <v>35</v>
      </c>
      <c r="V13">
        <v>80</v>
      </c>
      <c r="W13">
        <v>35</v>
      </c>
      <c r="X13">
        <v>24</v>
      </c>
      <c r="Y13">
        <v>24</v>
      </c>
      <c r="Z13">
        <v>35</v>
      </c>
      <c r="AA13">
        <v>240</v>
      </c>
      <c r="AB13">
        <v>200</v>
      </c>
      <c r="AC13">
        <v>20</v>
      </c>
      <c r="AD13">
        <v>42</v>
      </c>
      <c r="AE13">
        <v>120</v>
      </c>
      <c r="AF13">
        <v>35</v>
      </c>
      <c r="AG13">
        <v>70</v>
      </c>
      <c r="AH13">
        <v>42</v>
      </c>
      <c r="AI13">
        <v>20</v>
      </c>
      <c r="AJ13">
        <v>24</v>
      </c>
      <c r="AK13">
        <v>35</v>
      </c>
      <c r="AL13">
        <v>35</v>
      </c>
      <c r="AM13">
        <v>20</v>
      </c>
      <c r="AN13">
        <v>24</v>
      </c>
      <c r="AO13">
        <v>24</v>
      </c>
      <c r="AP13">
        <v>100</v>
      </c>
      <c r="AQ13">
        <v>96</v>
      </c>
      <c r="AR13">
        <v>120</v>
      </c>
      <c r="AS13">
        <v>25</v>
      </c>
      <c r="AT13">
        <v>35</v>
      </c>
      <c r="AU13">
        <v>25</v>
      </c>
      <c r="AV13">
        <v>20</v>
      </c>
      <c r="AW13">
        <v>100</v>
      </c>
      <c r="AX13">
        <v>30</v>
      </c>
      <c r="AY13">
        <v>25</v>
      </c>
      <c r="AZ13">
        <v>35</v>
      </c>
      <c r="BA13">
        <v>25</v>
      </c>
      <c r="BB13">
        <v>25</v>
      </c>
      <c r="BC13">
        <v>140</v>
      </c>
      <c r="BD13">
        <v>200</v>
      </c>
      <c r="BE13">
        <v>35</v>
      </c>
      <c r="BF13">
        <v>35</v>
      </c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</row>
    <row r="14" spans="1:108" x14ac:dyDescent="0.2">
      <c r="A14" s="11" t="s">
        <v>60</v>
      </c>
      <c r="B14" s="12">
        <v>0.3</v>
      </c>
      <c r="C14" s="53">
        <f t="shared" si="0"/>
        <v>0.7350000000000001</v>
      </c>
      <c r="D14" s="23" t="s">
        <v>59</v>
      </c>
      <c r="E14" s="19">
        <v>50</v>
      </c>
      <c r="F14" s="20">
        <v>60</v>
      </c>
      <c r="H14" s="64">
        <v>12</v>
      </c>
      <c r="I14">
        <v>35</v>
      </c>
      <c r="J14">
        <v>42</v>
      </c>
      <c r="K14">
        <v>35</v>
      </c>
      <c r="L14">
        <v>80</v>
      </c>
      <c r="M14">
        <v>120</v>
      </c>
      <c r="N14">
        <v>80</v>
      </c>
      <c r="O14">
        <v>140</v>
      </c>
      <c r="P14">
        <v>20</v>
      </c>
      <c r="Q14">
        <v>42</v>
      </c>
      <c r="R14">
        <v>140</v>
      </c>
      <c r="S14">
        <v>96</v>
      </c>
      <c r="T14">
        <v>120</v>
      </c>
      <c r="U14">
        <v>120</v>
      </c>
      <c r="V14">
        <v>120</v>
      </c>
      <c r="W14">
        <v>35</v>
      </c>
      <c r="X14">
        <v>35</v>
      </c>
      <c r="Y14">
        <v>70</v>
      </c>
      <c r="Z14">
        <v>80</v>
      </c>
      <c r="AA14">
        <v>20</v>
      </c>
      <c r="AB14">
        <v>96</v>
      </c>
      <c r="AC14">
        <v>24</v>
      </c>
      <c r="AD14">
        <v>120</v>
      </c>
      <c r="AE14">
        <v>24</v>
      </c>
      <c r="AF14">
        <v>42</v>
      </c>
      <c r="AG14">
        <v>120</v>
      </c>
      <c r="AH14">
        <v>42</v>
      </c>
      <c r="AI14">
        <v>70</v>
      </c>
      <c r="AJ14">
        <v>20</v>
      </c>
      <c r="AK14">
        <v>100</v>
      </c>
      <c r="AL14">
        <v>42</v>
      </c>
      <c r="AM14">
        <v>42</v>
      </c>
      <c r="AN14">
        <v>70</v>
      </c>
      <c r="AO14">
        <v>140</v>
      </c>
      <c r="AP14">
        <v>35</v>
      </c>
      <c r="AQ14">
        <v>140</v>
      </c>
      <c r="AR14">
        <v>70</v>
      </c>
      <c r="AS14">
        <v>35</v>
      </c>
      <c r="AT14">
        <v>35</v>
      </c>
      <c r="AU14">
        <v>100</v>
      </c>
      <c r="AV14">
        <v>25</v>
      </c>
      <c r="AW14">
        <v>42</v>
      </c>
      <c r="AX14">
        <v>100</v>
      </c>
      <c r="AY14">
        <v>20</v>
      </c>
      <c r="AZ14">
        <v>70</v>
      </c>
      <c r="BA14">
        <v>100</v>
      </c>
      <c r="BB14">
        <v>200</v>
      </c>
      <c r="BC14">
        <v>100</v>
      </c>
      <c r="BD14">
        <v>240</v>
      </c>
      <c r="BE14">
        <v>120</v>
      </c>
      <c r="BF14">
        <v>24</v>
      </c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</row>
    <row r="15" spans="1:108" x14ac:dyDescent="0.2">
      <c r="A15" s="11" t="s">
        <v>51</v>
      </c>
      <c r="B15" s="12">
        <v>0.03</v>
      </c>
      <c r="C15" s="53">
        <f t="shared" si="0"/>
        <v>0.76500000000000012</v>
      </c>
      <c r="D15" s="23" t="s">
        <v>61</v>
      </c>
      <c r="E15" s="19">
        <v>25</v>
      </c>
      <c r="F15" s="20">
        <v>30</v>
      </c>
      <c r="H15" s="64">
        <v>13</v>
      </c>
      <c r="I15">
        <v>140</v>
      </c>
      <c r="J15">
        <v>100</v>
      </c>
      <c r="K15">
        <v>140</v>
      </c>
      <c r="L15">
        <v>168</v>
      </c>
      <c r="M15">
        <v>25</v>
      </c>
      <c r="N15">
        <v>24</v>
      </c>
      <c r="O15">
        <v>100</v>
      </c>
      <c r="P15">
        <v>70</v>
      </c>
      <c r="Q15">
        <v>30</v>
      </c>
      <c r="R15">
        <v>35</v>
      </c>
      <c r="S15">
        <v>24</v>
      </c>
      <c r="T15">
        <v>140</v>
      </c>
      <c r="U15">
        <v>24</v>
      </c>
      <c r="V15">
        <v>140</v>
      </c>
      <c r="W15">
        <v>25</v>
      </c>
      <c r="X15">
        <v>120</v>
      </c>
      <c r="Y15">
        <v>30</v>
      </c>
      <c r="Z15">
        <v>20</v>
      </c>
      <c r="AA15">
        <v>100</v>
      </c>
      <c r="AB15">
        <v>20</v>
      </c>
      <c r="AC15">
        <v>96</v>
      </c>
      <c r="AD15">
        <v>35</v>
      </c>
      <c r="AE15">
        <v>96</v>
      </c>
      <c r="AF15">
        <v>120</v>
      </c>
      <c r="AG15">
        <v>120</v>
      </c>
      <c r="AH15">
        <v>120</v>
      </c>
      <c r="AI15">
        <v>100</v>
      </c>
      <c r="AJ15">
        <v>42</v>
      </c>
      <c r="AK15">
        <v>24</v>
      </c>
      <c r="AL15">
        <v>120</v>
      </c>
      <c r="AM15">
        <v>20</v>
      </c>
      <c r="AN15">
        <v>20</v>
      </c>
      <c r="AO15">
        <v>100</v>
      </c>
      <c r="AP15">
        <v>25</v>
      </c>
      <c r="AQ15">
        <v>120</v>
      </c>
      <c r="AR15">
        <v>35</v>
      </c>
      <c r="AS15">
        <v>42</v>
      </c>
      <c r="AT15">
        <v>100</v>
      </c>
      <c r="AU15">
        <v>20</v>
      </c>
      <c r="AV15">
        <v>30</v>
      </c>
      <c r="AW15">
        <v>35</v>
      </c>
      <c r="AX15">
        <v>35</v>
      </c>
      <c r="AY15">
        <v>35</v>
      </c>
      <c r="AZ15">
        <v>80</v>
      </c>
      <c r="BA15">
        <v>24</v>
      </c>
      <c r="BB15">
        <v>35</v>
      </c>
      <c r="BC15">
        <v>20</v>
      </c>
      <c r="BD15">
        <v>120</v>
      </c>
      <c r="BE15">
        <v>42</v>
      </c>
      <c r="BF15">
        <v>35</v>
      </c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</row>
    <row r="16" spans="1:108" x14ac:dyDescent="0.2">
      <c r="A16" s="11" t="s">
        <v>59</v>
      </c>
      <c r="B16" s="12">
        <v>5.0000000000000001E-3</v>
      </c>
      <c r="C16" s="53">
        <f t="shared" si="0"/>
        <v>0.77000000000000013</v>
      </c>
      <c r="D16" s="23" t="s">
        <v>52</v>
      </c>
      <c r="E16" s="19">
        <v>140</v>
      </c>
      <c r="F16" s="20">
        <v>168</v>
      </c>
      <c r="H16" s="64">
        <v>14</v>
      </c>
      <c r="I16">
        <v>100</v>
      </c>
      <c r="J16">
        <v>168</v>
      </c>
      <c r="K16">
        <v>140</v>
      </c>
      <c r="L16">
        <v>140</v>
      </c>
      <c r="M16">
        <v>140</v>
      </c>
      <c r="N16">
        <v>20</v>
      </c>
      <c r="O16">
        <v>35</v>
      </c>
      <c r="P16">
        <v>20</v>
      </c>
      <c r="Q16">
        <v>80</v>
      </c>
      <c r="R16">
        <v>120</v>
      </c>
      <c r="S16">
        <v>200</v>
      </c>
      <c r="T16">
        <v>200</v>
      </c>
      <c r="U16">
        <v>70</v>
      </c>
      <c r="V16">
        <v>35</v>
      </c>
      <c r="W16">
        <v>35</v>
      </c>
      <c r="X16">
        <v>42</v>
      </c>
      <c r="Y16">
        <v>25</v>
      </c>
      <c r="Z16">
        <v>35</v>
      </c>
      <c r="AA16">
        <v>120</v>
      </c>
      <c r="AB16">
        <v>42</v>
      </c>
      <c r="AC16">
        <v>140</v>
      </c>
      <c r="AD16">
        <v>24</v>
      </c>
      <c r="AE16">
        <v>20</v>
      </c>
      <c r="AF16">
        <v>70</v>
      </c>
      <c r="AG16">
        <v>30</v>
      </c>
      <c r="AH16">
        <v>20</v>
      </c>
      <c r="AI16">
        <v>100</v>
      </c>
      <c r="AJ16">
        <v>20</v>
      </c>
      <c r="AK16">
        <v>42</v>
      </c>
      <c r="AL16">
        <v>42</v>
      </c>
      <c r="AM16">
        <v>25</v>
      </c>
      <c r="AN16">
        <v>120</v>
      </c>
      <c r="AO16">
        <v>30</v>
      </c>
      <c r="AP16">
        <v>100</v>
      </c>
      <c r="AQ16">
        <v>42</v>
      </c>
      <c r="AR16">
        <v>20</v>
      </c>
      <c r="AS16">
        <v>100</v>
      </c>
      <c r="AT16">
        <v>140</v>
      </c>
      <c r="AU16">
        <v>42</v>
      </c>
      <c r="AV16">
        <v>240</v>
      </c>
      <c r="AW16">
        <v>140</v>
      </c>
      <c r="AX16">
        <v>20</v>
      </c>
      <c r="AY16">
        <v>200</v>
      </c>
      <c r="AZ16">
        <v>60</v>
      </c>
      <c r="BA16">
        <v>42</v>
      </c>
      <c r="BB16">
        <v>168</v>
      </c>
      <c r="BC16">
        <v>35</v>
      </c>
      <c r="BD16">
        <v>35</v>
      </c>
      <c r="BE16">
        <v>35</v>
      </c>
      <c r="BF16">
        <v>70</v>
      </c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</row>
    <row r="17" spans="1:108" x14ac:dyDescent="0.2">
      <c r="A17" s="11" t="s">
        <v>61</v>
      </c>
      <c r="B17" s="12">
        <v>0.1</v>
      </c>
      <c r="C17" s="53">
        <f t="shared" si="0"/>
        <v>0.87000000000000011</v>
      </c>
      <c r="D17" s="24" t="s">
        <v>55</v>
      </c>
      <c r="E17" s="21">
        <v>100</v>
      </c>
      <c r="F17" s="22">
        <v>120</v>
      </c>
      <c r="H17" s="64">
        <v>15</v>
      </c>
      <c r="I17">
        <v>70</v>
      </c>
      <c r="J17">
        <v>35</v>
      </c>
      <c r="K17">
        <v>35</v>
      </c>
      <c r="L17">
        <v>30</v>
      </c>
      <c r="M17">
        <v>20</v>
      </c>
      <c r="N17">
        <v>35</v>
      </c>
      <c r="O17">
        <v>35</v>
      </c>
      <c r="P17">
        <v>42</v>
      </c>
      <c r="Q17">
        <v>24</v>
      </c>
      <c r="R17">
        <v>80</v>
      </c>
      <c r="S17">
        <v>168</v>
      </c>
      <c r="T17">
        <v>30</v>
      </c>
      <c r="U17">
        <v>42</v>
      </c>
      <c r="V17">
        <v>20</v>
      </c>
      <c r="W17">
        <v>24</v>
      </c>
      <c r="X17">
        <v>24</v>
      </c>
      <c r="Y17">
        <v>24</v>
      </c>
      <c r="Z17">
        <v>100</v>
      </c>
      <c r="AA17">
        <v>80</v>
      </c>
      <c r="AB17">
        <v>20</v>
      </c>
      <c r="AC17">
        <v>35</v>
      </c>
      <c r="AD17">
        <v>20</v>
      </c>
      <c r="AE17">
        <v>120</v>
      </c>
      <c r="AF17">
        <v>100</v>
      </c>
      <c r="AG17">
        <v>24</v>
      </c>
      <c r="AH17">
        <v>100</v>
      </c>
      <c r="AI17">
        <v>20</v>
      </c>
      <c r="AJ17">
        <v>140</v>
      </c>
      <c r="AK17">
        <v>240</v>
      </c>
      <c r="AL17">
        <v>42</v>
      </c>
      <c r="AM17">
        <v>35</v>
      </c>
      <c r="AN17">
        <v>96</v>
      </c>
      <c r="AO17">
        <v>42</v>
      </c>
      <c r="AP17">
        <v>140</v>
      </c>
      <c r="AQ17">
        <v>35</v>
      </c>
      <c r="AR17">
        <v>100</v>
      </c>
      <c r="AS17">
        <v>100</v>
      </c>
      <c r="AT17">
        <v>168</v>
      </c>
      <c r="AU17">
        <v>24</v>
      </c>
      <c r="AV17">
        <v>25</v>
      </c>
      <c r="AW17">
        <v>100</v>
      </c>
      <c r="AX17">
        <v>30</v>
      </c>
      <c r="AY17">
        <v>35</v>
      </c>
      <c r="AZ17">
        <v>50</v>
      </c>
      <c r="BA17">
        <v>42</v>
      </c>
      <c r="BB17">
        <v>35</v>
      </c>
      <c r="BC17">
        <v>240</v>
      </c>
      <c r="BD17">
        <v>70</v>
      </c>
      <c r="BE17">
        <v>120</v>
      </c>
      <c r="BF17">
        <v>30</v>
      </c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</row>
    <row r="18" spans="1:108" x14ac:dyDescent="0.2">
      <c r="A18" s="11" t="s">
        <v>52</v>
      </c>
      <c r="B18" s="12">
        <v>0.09</v>
      </c>
      <c r="C18" s="53">
        <f t="shared" si="0"/>
        <v>0.96000000000000008</v>
      </c>
      <c r="H18" s="64">
        <v>16</v>
      </c>
      <c r="I18">
        <v>168</v>
      </c>
      <c r="J18">
        <v>70</v>
      </c>
      <c r="K18">
        <v>100</v>
      </c>
      <c r="L18">
        <v>80</v>
      </c>
      <c r="M18">
        <v>100</v>
      </c>
      <c r="N18">
        <v>42</v>
      </c>
      <c r="O18">
        <v>100</v>
      </c>
      <c r="P18">
        <v>70</v>
      </c>
      <c r="Q18">
        <v>35</v>
      </c>
      <c r="R18">
        <v>120</v>
      </c>
      <c r="S18">
        <v>100</v>
      </c>
      <c r="T18">
        <v>24</v>
      </c>
      <c r="U18">
        <v>20</v>
      </c>
      <c r="V18">
        <v>42</v>
      </c>
      <c r="W18">
        <v>20</v>
      </c>
      <c r="X18">
        <v>168</v>
      </c>
      <c r="Y18">
        <v>80</v>
      </c>
      <c r="Z18">
        <v>35</v>
      </c>
      <c r="AA18">
        <v>168</v>
      </c>
      <c r="AB18">
        <v>42</v>
      </c>
      <c r="AC18">
        <v>20</v>
      </c>
      <c r="AD18">
        <v>35</v>
      </c>
      <c r="AE18">
        <v>35</v>
      </c>
      <c r="AF18">
        <v>42</v>
      </c>
      <c r="AG18">
        <v>100</v>
      </c>
      <c r="AH18">
        <v>42</v>
      </c>
      <c r="AI18">
        <v>35</v>
      </c>
      <c r="AJ18">
        <v>35</v>
      </c>
      <c r="AK18">
        <v>96</v>
      </c>
      <c r="AL18">
        <v>25</v>
      </c>
      <c r="AM18">
        <v>35</v>
      </c>
      <c r="AN18">
        <v>35</v>
      </c>
      <c r="AO18">
        <v>140</v>
      </c>
      <c r="AP18">
        <v>120</v>
      </c>
      <c r="AQ18">
        <v>24</v>
      </c>
      <c r="AR18">
        <v>84</v>
      </c>
      <c r="AS18">
        <v>240</v>
      </c>
      <c r="AT18">
        <v>80</v>
      </c>
      <c r="AU18">
        <v>168</v>
      </c>
      <c r="AV18">
        <v>84</v>
      </c>
      <c r="AW18">
        <v>168</v>
      </c>
      <c r="AX18">
        <v>35</v>
      </c>
      <c r="AY18">
        <v>100</v>
      </c>
      <c r="AZ18">
        <v>42</v>
      </c>
      <c r="BA18">
        <v>35</v>
      </c>
      <c r="BB18">
        <v>100</v>
      </c>
      <c r="BC18">
        <v>24</v>
      </c>
      <c r="BD18">
        <v>168</v>
      </c>
      <c r="BE18">
        <v>84</v>
      </c>
      <c r="BF18">
        <v>84</v>
      </c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</row>
    <row r="19" spans="1:108" x14ac:dyDescent="0.2">
      <c r="A19" s="11" t="s">
        <v>55</v>
      </c>
      <c r="B19" s="12">
        <v>0.04</v>
      </c>
      <c r="C19" s="53">
        <f t="shared" si="0"/>
        <v>1</v>
      </c>
      <c r="H19" s="64">
        <v>17</v>
      </c>
      <c r="I19">
        <v>200</v>
      </c>
      <c r="J19">
        <v>35</v>
      </c>
      <c r="K19">
        <v>96</v>
      </c>
      <c r="L19">
        <v>100</v>
      </c>
      <c r="M19">
        <v>30</v>
      </c>
      <c r="N19">
        <v>100</v>
      </c>
      <c r="O19">
        <v>120</v>
      </c>
      <c r="P19">
        <v>24</v>
      </c>
      <c r="Q19">
        <v>80</v>
      </c>
      <c r="R19">
        <v>20</v>
      </c>
      <c r="S19">
        <v>100</v>
      </c>
      <c r="T19">
        <v>42</v>
      </c>
      <c r="U19">
        <v>100</v>
      </c>
      <c r="V19">
        <v>20</v>
      </c>
      <c r="W19">
        <v>35</v>
      </c>
      <c r="X19">
        <v>70</v>
      </c>
      <c r="Y19">
        <v>240</v>
      </c>
      <c r="Z19">
        <v>24</v>
      </c>
      <c r="AA19">
        <v>96</v>
      </c>
      <c r="AB19">
        <v>35</v>
      </c>
      <c r="AC19">
        <v>24</v>
      </c>
      <c r="AD19">
        <v>24</v>
      </c>
      <c r="AE19">
        <v>100</v>
      </c>
      <c r="AF19">
        <v>200</v>
      </c>
      <c r="AG19">
        <v>42</v>
      </c>
      <c r="AH19">
        <v>70</v>
      </c>
      <c r="AI19">
        <v>120</v>
      </c>
      <c r="AJ19">
        <v>42</v>
      </c>
      <c r="AK19">
        <v>42</v>
      </c>
      <c r="AL19">
        <v>24</v>
      </c>
      <c r="AM19">
        <v>70</v>
      </c>
      <c r="AN19">
        <v>20</v>
      </c>
      <c r="AO19">
        <v>25</v>
      </c>
      <c r="AP19">
        <v>35</v>
      </c>
      <c r="AQ19">
        <v>24</v>
      </c>
      <c r="AR19">
        <v>20</v>
      </c>
      <c r="AS19">
        <v>96</v>
      </c>
      <c r="AT19">
        <v>100</v>
      </c>
      <c r="AU19">
        <v>35</v>
      </c>
      <c r="AV19">
        <v>20</v>
      </c>
      <c r="AW19">
        <v>80</v>
      </c>
      <c r="AX19">
        <v>35</v>
      </c>
      <c r="AY19">
        <v>35</v>
      </c>
      <c r="AZ19">
        <v>24</v>
      </c>
      <c r="BA19">
        <v>200</v>
      </c>
      <c r="BB19">
        <v>42</v>
      </c>
      <c r="BC19">
        <v>20</v>
      </c>
      <c r="BD19">
        <v>140</v>
      </c>
      <c r="BE19">
        <v>84</v>
      </c>
      <c r="BF19">
        <v>24</v>
      </c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</row>
    <row r="20" spans="1:108" x14ac:dyDescent="0.2">
      <c r="H20" s="64">
        <v>18</v>
      </c>
      <c r="I20">
        <v>24</v>
      </c>
      <c r="J20">
        <v>140</v>
      </c>
      <c r="K20">
        <v>25</v>
      </c>
      <c r="L20">
        <v>42</v>
      </c>
      <c r="M20">
        <v>20</v>
      </c>
      <c r="N20">
        <v>100</v>
      </c>
      <c r="O20">
        <v>100</v>
      </c>
      <c r="P20">
        <v>168</v>
      </c>
      <c r="Q20">
        <v>70</v>
      </c>
      <c r="R20">
        <v>20</v>
      </c>
      <c r="S20">
        <v>140</v>
      </c>
      <c r="T20">
        <v>42</v>
      </c>
      <c r="U20">
        <v>140</v>
      </c>
      <c r="V20">
        <v>35</v>
      </c>
      <c r="W20">
        <v>25</v>
      </c>
      <c r="X20">
        <v>35</v>
      </c>
      <c r="Y20">
        <v>100</v>
      </c>
      <c r="Z20">
        <v>84</v>
      </c>
      <c r="AA20">
        <v>168</v>
      </c>
      <c r="AB20">
        <v>35</v>
      </c>
      <c r="AC20">
        <v>120</v>
      </c>
      <c r="AD20">
        <v>100</v>
      </c>
      <c r="AE20">
        <v>20</v>
      </c>
      <c r="AF20">
        <v>24</v>
      </c>
      <c r="AG20">
        <v>100</v>
      </c>
      <c r="AH20">
        <v>35</v>
      </c>
      <c r="AI20">
        <v>24</v>
      </c>
      <c r="AJ20">
        <v>30</v>
      </c>
      <c r="AK20">
        <v>42</v>
      </c>
      <c r="AL20">
        <v>24</v>
      </c>
      <c r="AM20">
        <v>35</v>
      </c>
      <c r="AN20">
        <v>24</v>
      </c>
      <c r="AO20">
        <v>100</v>
      </c>
      <c r="AP20">
        <v>20</v>
      </c>
      <c r="AQ20">
        <v>24</v>
      </c>
      <c r="AR20">
        <v>120</v>
      </c>
      <c r="AS20">
        <v>35</v>
      </c>
      <c r="AT20">
        <v>100</v>
      </c>
      <c r="AU20">
        <v>96</v>
      </c>
      <c r="AV20">
        <v>70</v>
      </c>
      <c r="AW20">
        <v>120</v>
      </c>
      <c r="AX20">
        <v>42</v>
      </c>
      <c r="AY20">
        <v>140</v>
      </c>
      <c r="AZ20">
        <v>80</v>
      </c>
      <c r="BA20">
        <v>42</v>
      </c>
      <c r="BB20">
        <v>100</v>
      </c>
      <c r="BC20">
        <v>20</v>
      </c>
      <c r="BD20">
        <v>168</v>
      </c>
      <c r="BE20">
        <v>25</v>
      </c>
      <c r="BF20">
        <v>30</v>
      </c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</row>
    <row r="21" spans="1:108" x14ac:dyDescent="0.2">
      <c r="H21" s="64">
        <v>19</v>
      </c>
      <c r="I21">
        <v>120</v>
      </c>
      <c r="J21">
        <v>35</v>
      </c>
      <c r="K21">
        <v>25</v>
      </c>
      <c r="L21">
        <v>20</v>
      </c>
      <c r="M21">
        <v>42</v>
      </c>
      <c r="N21">
        <v>35</v>
      </c>
      <c r="O21">
        <v>35</v>
      </c>
      <c r="P21">
        <v>200</v>
      </c>
      <c r="Q21">
        <v>42</v>
      </c>
      <c r="R21">
        <v>20</v>
      </c>
      <c r="S21">
        <v>25</v>
      </c>
      <c r="T21">
        <v>84</v>
      </c>
      <c r="U21">
        <v>200</v>
      </c>
      <c r="V21">
        <v>25</v>
      </c>
      <c r="W21">
        <v>24</v>
      </c>
      <c r="X21">
        <v>42</v>
      </c>
      <c r="Y21">
        <v>70</v>
      </c>
      <c r="Z21">
        <v>120</v>
      </c>
      <c r="AA21">
        <v>20</v>
      </c>
      <c r="AB21">
        <v>120</v>
      </c>
      <c r="AC21">
        <v>100</v>
      </c>
      <c r="AD21">
        <v>60</v>
      </c>
      <c r="AE21">
        <v>80</v>
      </c>
      <c r="AF21">
        <v>100</v>
      </c>
      <c r="AG21">
        <v>24</v>
      </c>
      <c r="AH21">
        <v>240</v>
      </c>
      <c r="AI21">
        <v>80</v>
      </c>
      <c r="AJ21">
        <v>35</v>
      </c>
      <c r="AK21">
        <v>120</v>
      </c>
      <c r="AL21">
        <v>24</v>
      </c>
      <c r="AM21">
        <v>35</v>
      </c>
      <c r="AN21">
        <v>100</v>
      </c>
      <c r="AO21">
        <v>120</v>
      </c>
      <c r="AP21">
        <v>24</v>
      </c>
      <c r="AQ21">
        <v>35</v>
      </c>
      <c r="AR21">
        <v>25</v>
      </c>
      <c r="AS21">
        <v>100</v>
      </c>
      <c r="AT21">
        <v>25</v>
      </c>
      <c r="AU21">
        <v>35</v>
      </c>
      <c r="AV21">
        <v>35</v>
      </c>
      <c r="AW21">
        <v>20</v>
      </c>
      <c r="AX21">
        <v>24</v>
      </c>
      <c r="AY21">
        <v>100</v>
      </c>
      <c r="AZ21">
        <v>35</v>
      </c>
      <c r="BA21">
        <v>35</v>
      </c>
      <c r="BB21">
        <v>168</v>
      </c>
      <c r="BC21">
        <v>24</v>
      </c>
      <c r="BD21">
        <v>140</v>
      </c>
      <c r="BE21">
        <v>240</v>
      </c>
      <c r="BF21">
        <v>35</v>
      </c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</row>
    <row r="22" spans="1:108" x14ac:dyDescent="0.2">
      <c r="H22" s="64">
        <v>20</v>
      </c>
      <c r="I22">
        <v>42</v>
      </c>
      <c r="J22">
        <v>70</v>
      </c>
      <c r="K22">
        <v>80</v>
      </c>
      <c r="L22">
        <v>168</v>
      </c>
      <c r="M22">
        <v>168</v>
      </c>
      <c r="N22">
        <v>120</v>
      </c>
      <c r="O22">
        <v>84</v>
      </c>
      <c r="P22">
        <v>42</v>
      </c>
      <c r="Q22">
        <v>20</v>
      </c>
      <c r="R22">
        <v>140</v>
      </c>
      <c r="S22">
        <v>42</v>
      </c>
      <c r="T22">
        <v>35</v>
      </c>
      <c r="U22">
        <v>168</v>
      </c>
      <c r="V22">
        <v>100</v>
      </c>
      <c r="W22">
        <v>20</v>
      </c>
      <c r="X22">
        <v>70</v>
      </c>
      <c r="Y22">
        <v>42</v>
      </c>
      <c r="Z22">
        <v>35</v>
      </c>
      <c r="AA22">
        <v>20</v>
      </c>
      <c r="AB22">
        <v>100</v>
      </c>
      <c r="AC22">
        <v>100</v>
      </c>
      <c r="AD22">
        <v>42</v>
      </c>
      <c r="AE22">
        <v>96</v>
      </c>
      <c r="AF22">
        <v>20</v>
      </c>
      <c r="AG22">
        <v>35</v>
      </c>
      <c r="AH22">
        <v>35</v>
      </c>
      <c r="AI22">
        <v>24</v>
      </c>
      <c r="AJ22">
        <v>100</v>
      </c>
      <c r="AK22">
        <v>42</v>
      </c>
      <c r="AL22">
        <v>35</v>
      </c>
      <c r="AM22">
        <v>20</v>
      </c>
      <c r="AN22">
        <v>140</v>
      </c>
      <c r="AO22">
        <v>24</v>
      </c>
      <c r="AP22">
        <v>100</v>
      </c>
      <c r="AQ22">
        <v>35</v>
      </c>
      <c r="AR22">
        <v>35</v>
      </c>
      <c r="AS22">
        <v>96</v>
      </c>
      <c r="AT22">
        <v>35</v>
      </c>
      <c r="AU22">
        <v>96</v>
      </c>
      <c r="AV22">
        <v>80</v>
      </c>
      <c r="AW22">
        <v>30</v>
      </c>
      <c r="AX22">
        <v>20</v>
      </c>
      <c r="AY22">
        <v>120</v>
      </c>
      <c r="AZ22">
        <v>30</v>
      </c>
      <c r="BA22">
        <v>20</v>
      </c>
      <c r="BB22">
        <v>20</v>
      </c>
      <c r="BC22">
        <v>96</v>
      </c>
      <c r="BD22">
        <v>100</v>
      </c>
      <c r="BE22">
        <v>20</v>
      </c>
      <c r="BF22">
        <v>120</v>
      </c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</row>
    <row r="23" spans="1:108" x14ac:dyDescent="0.2">
      <c r="H23" s="64">
        <v>21</v>
      </c>
      <c r="I23">
        <v>168</v>
      </c>
      <c r="J23">
        <v>120</v>
      </c>
      <c r="K23">
        <v>20</v>
      </c>
      <c r="L23">
        <v>42</v>
      </c>
      <c r="M23">
        <v>140</v>
      </c>
      <c r="N23">
        <v>100</v>
      </c>
      <c r="O23">
        <v>35</v>
      </c>
      <c r="P23">
        <v>42</v>
      </c>
      <c r="Q23">
        <v>20</v>
      </c>
      <c r="R23">
        <v>42</v>
      </c>
      <c r="S23">
        <v>100</v>
      </c>
      <c r="T23">
        <v>35</v>
      </c>
      <c r="U23">
        <v>35</v>
      </c>
      <c r="V23">
        <v>35</v>
      </c>
      <c r="W23">
        <v>24</v>
      </c>
      <c r="X23">
        <v>42</v>
      </c>
      <c r="Y23">
        <v>168</v>
      </c>
      <c r="Z23">
        <v>84</v>
      </c>
      <c r="AA23">
        <v>100</v>
      </c>
      <c r="AB23">
        <v>100</v>
      </c>
      <c r="AC23">
        <v>100</v>
      </c>
      <c r="AD23">
        <v>20</v>
      </c>
      <c r="AE23">
        <v>20</v>
      </c>
      <c r="AF23">
        <v>35</v>
      </c>
      <c r="AG23">
        <v>100</v>
      </c>
      <c r="AH23">
        <v>120</v>
      </c>
      <c r="AI23">
        <v>140</v>
      </c>
      <c r="AJ23">
        <v>96</v>
      </c>
      <c r="AK23">
        <v>42</v>
      </c>
      <c r="AL23">
        <v>35</v>
      </c>
      <c r="AM23">
        <v>20</v>
      </c>
      <c r="AN23">
        <v>30</v>
      </c>
      <c r="AO23">
        <v>30</v>
      </c>
      <c r="AP23">
        <v>240</v>
      </c>
      <c r="AQ23">
        <v>120</v>
      </c>
      <c r="AR23">
        <v>35</v>
      </c>
      <c r="AS23">
        <v>35</v>
      </c>
      <c r="AT23">
        <v>100</v>
      </c>
      <c r="AU23">
        <v>42</v>
      </c>
      <c r="AV23">
        <v>120</v>
      </c>
      <c r="AW23">
        <v>80</v>
      </c>
      <c r="AX23">
        <v>70</v>
      </c>
      <c r="AY23">
        <v>35</v>
      </c>
      <c r="AZ23">
        <v>35</v>
      </c>
      <c r="BA23">
        <v>42</v>
      </c>
      <c r="BB23">
        <v>100</v>
      </c>
      <c r="BC23">
        <v>100</v>
      </c>
      <c r="BD23">
        <v>168</v>
      </c>
      <c r="BE23">
        <v>20</v>
      </c>
      <c r="BF23">
        <v>20</v>
      </c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</row>
    <row r="24" spans="1:108" x14ac:dyDescent="0.2">
      <c r="H24" s="64">
        <v>22</v>
      </c>
      <c r="I24">
        <v>168</v>
      </c>
      <c r="J24">
        <v>25</v>
      </c>
      <c r="K24">
        <v>120</v>
      </c>
      <c r="L24">
        <v>42</v>
      </c>
      <c r="M24">
        <v>20</v>
      </c>
      <c r="N24">
        <v>42</v>
      </c>
      <c r="O24">
        <v>35</v>
      </c>
      <c r="P24">
        <v>70</v>
      </c>
      <c r="Q24">
        <v>100</v>
      </c>
      <c r="R24">
        <v>42</v>
      </c>
      <c r="S24">
        <v>20</v>
      </c>
      <c r="T24">
        <v>30</v>
      </c>
      <c r="U24">
        <v>24</v>
      </c>
      <c r="V24">
        <v>42</v>
      </c>
      <c r="W24">
        <v>100</v>
      </c>
      <c r="X24">
        <v>84</v>
      </c>
      <c r="Y24">
        <v>100</v>
      </c>
      <c r="Z24">
        <v>35</v>
      </c>
      <c r="AA24">
        <v>35</v>
      </c>
      <c r="AB24">
        <v>80</v>
      </c>
      <c r="AC24">
        <v>35</v>
      </c>
      <c r="AD24">
        <v>20</v>
      </c>
      <c r="AE24">
        <v>20</v>
      </c>
      <c r="AF24">
        <v>120</v>
      </c>
      <c r="AG24">
        <v>42</v>
      </c>
      <c r="AH24">
        <v>96</v>
      </c>
      <c r="AI24">
        <v>100</v>
      </c>
      <c r="AJ24">
        <v>70</v>
      </c>
      <c r="AK24">
        <v>35</v>
      </c>
      <c r="AL24">
        <v>120</v>
      </c>
      <c r="AM24">
        <v>35</v>
      </c>
      <c r="AN24">
        <v>24</v>
      </c>
      <c r="AO24">
        <v>35</v>
      </c>
      <c r="AP24">
        <v>24</v>
      </c>
      <c r="AQ24">
        <v>200</v>
      </c>
      <c r="AR24">
        <v>42</v>
      </c>
      <c r="AS24">
        <v>120</v>
      </c>
      <c r="AT24">
        <v>20</v>
      </c>
      <c r="AU24">
        <v>96</v>
      </c>
      <c r="AV24">
        <v>35</v>
      </c>
      <c r="AW24">
        <v>42</v>
      </c>
      <c r="AX24">
        <v>20</v>
      </c>
      <c r="AY24">
        <v>20</v>
      </c>
      <c r="AZ24">
        <v>20</v>
      </c>
      <c r="BA24">
        <v>140</v>
      </c>
      <c r="BB24">
        <v>24</v>
      </c>
      <c r="BC24">
        <v>84</v>
      </c>
      <c r="BD24">
        <v>35</v>
      </c>
      <c r="BE24">
        <v>100</v>
      </c>
      <c r="BF24">
        <v>60</v>
      </c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</row>
    <row r="25" spans="1:108" x14ac:dyDescent="0.2">
      <c r="H25" s="64">
        <v>23</v>
      </c>
      <c r="I25">
        <v>140</v>
      </c>
      <c r="J25">
        <v>30</v>
      </c>
      <c r="K25">
        <v>42</v>
      </c>
      <c r="L25">
        <v>100</v>
      </c>
      <c r="M25">
        <v>140</v>
      </c>
      <c r="N25">
        <v>140</v>
      </c>
      <c r="O25">
        <v>84</v>
      </c>
      <c r="P25">
        <v>24</v>
      </c>
      <c r="Q25">
        <v>100</v>
      </c>
      <c r="R25">
        <v>120</v>
      </c>
      <c r="S25">
        <v>35</v>
      </c>
      <c r="T25">
        <v>24</v>
      </c>
      <c r="U25">
        <v>24</v>
      </c>
      <c r="V25">
        <v>120</v>
      </c>
      <c r="W25">
        <v>35</v>
      </c>
      <c r="X25">
        <v>25</v>
      </c>
      <c r="Y25">
        <v>25</v>
      </c>
      <c r="Z25">
        <v>20</v>
      </c>
      <c r="AA25">
        <v>70</v>
      </c>
      <c r="AB25">
        <v>20</v>
      </c>
      <c r="AC25">
        <v>20</v>
      </c>
      <c r="AD25">
        <v>84</v>
      </c>
      <c r="AE25">
        <v>96</v>
      </c>
      <c r="AF25">
        <v>42</v>
      </c>
      <c r="AG25">
        <v>120</v>
      </c>
      <c r="AH25">
        <v>84</v>
      </c>
      <c r="AI25">
        <v>70</v>
      </c>
      <c r="AJ25">
        <v>24</v>
      </c>
      <c r="AK25">
        <v>35</v>
      </c>
      <c r="AL25">
        <v>24</v>
      </c>
      <c r="AM25">
        <v>120</v>
      </c>
      <c r="AN25">
        <v>25</v>
      </c>
      <c r="AO25">
        <v>25</v>
      </c>
      <c r="AP25">
        <v>35</v>
      </c>
      <c r="AQ25">
        <v>24</v>
      </c>
      <c r="AR25">
        <v>120</v>
      </c>
      <c r="AS25">
        <v>42</v>
      </c>
      <c r="AT25">
        <v>35</v>
      </c>
      <c r="AU25">
        <v>25</v>
      </c>
      <c r="AV25">
        <v>140</v>
      </c>
      <c r="AW25">
        <v>30</v>
      </c>
      <c r="AX25">
        <v>24</v>
      </c>
      <c r="AY25">
        <v>120</v>
      </c>
      <c r="AZ25">
        <v>120</v>
      </c>
      <c r="BA25">
        <v>24</v>
      </c>
      <c r="BB25">
        <v>35</v>
      </c>
      <c r="BC25">
        <v>42</v>
      </c>
      <c r="BD25">
        <v>42</v>
      </c>
      <c r="BE25">
        <v>35</v>
      </c>
      <c r="BF25">
        <v>25</v>
      </c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</row>
    <row r="26" spans="1:108" x14ac:dyDescent="0.2">
      <c r="H26" s="64">
        <v>24</v>
      </c>
      <c r="I26">
        <v>35</v>
      </c>
      <c r="J26">
        <v>35</v>
      </c>
      <c r="K26">
        <v>70</v>
      </c>
      <c r="L26">
        <v>35</v>
      </c>
      <c r="M26">
        <v>35</v>
      </c>
      <c r="N26">
        <v>35</v>
      </c>
      <c r="O26">
        <v>35</v>
      </c>
      <c r="P26">
        <v>200</v>
      </c>
      <c r="Q26">
        <v>30</v>
      </c>
      <c r="R26">
        <v>25</v>
      </c>
      <c r="S26">
        <v>24</v>
      </c>
      <c r="T26">
        <v>120</v>
      </c>
      <c r="U26">
        <v>42</v>
      </c>
      <c r="V26">
        <v>168</v>
      </c>
      <c r="W26">
        <v>35</v>
      </c>
      <c r="X26">
        <v>35</v>
      </c>
      <c r="Y26">
        <v>100</v>
      </c>
      <c r="Z26">
        <v>120</v>
      </c>
      <c r="AA26">
        <v>140</v>
      </c>
      <c r="AB26">
        <v>24</v>
      </c>
      <c r="AC26">
        <v>100</v>
      </c>
      <c r="AD26">
        <v>96</v>
      </c>
      <c r="AE26">
        <v>84</v>
      </c>
      <c r="AF26">
        <v>96</v>
      </c>
      <c r="AG26">
        <v>24</v>
      </c>
      <c r="AH26">
        <v>35</v>
      </c>
      <c r="AI26">
        <v>42</v>
      </c>
      <c r="AJ26">
        <v>100</v>
      </c>
      <c r="AK26">
        <v>35</v>
      </c>
      <c r="AL26">
        <v>42</v>
      </c>
      <c r="AM26">
        <v>24</v>
      </c>
      <c r="AN26">
        <v>168</v>
      </c>
      <c r="AO26">
        <v>96</v>
      </c>
      <c r="AP26">
        <v>100</v>
      </c>
      <c r="AQ26">
        <v>20</v>
      </c>
      <c r="AR26">
        <v>42</v>
      </c>
      <c r="AS26">
        <v>42</v>
      </c>
      <c r="AT26">
        <v>42</v>
      </c>
      <c r="AU26">
        <v>35</v>
      </c>
      <c r="AV26">
        <v>35</v>
      </c>
      <c r="AW26">
        <v>42</v>
      </c>
      <c r="AX26">
        <v>140</v>
      </c>
      <c r="AY26">
        <v>140</v>
      </c>
      <c r="AZ26">
        <v>70</v>
      </c>
      <c r="BA26">
        <v>80</v>
      </c>
      <c r="BB26">
        <v>70</v>
      </c>
      <c r="BC26">
        <v>42</v>
      </c>
      <c r="BD26">
        <v>24</v>
      </c>
      <c r="BE26">
        <v>20</v>
      </c>
      <c r="BF26">
        <v>100</v>
      </c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</row>
    <row r="27" spans="1:108" x14ac:dyDescent="0.2">
      <c r="H27" s="64">
        <v>25</v>
      </c>
      <c r="I27">
        <v>35</v>
      </c>
      <c r="J27">
        <v>35</v>
      </c>
      <c r="K27">
        <v>80</v>
      </c>
      <c r="L27">
        <v>200</v>
      </c>
      <c r="M27">
        <v>35</v>
      </c>
      <c r="N27">
        <v>35</v>
      </c>
      <c r="O27">
        <v>30</v>
      </c>
      <c r="P27">
        <v>120</v>
      </c>
      <c r="Q27">
        <v>70</v>
      </c>
      <c r="R27">
        <v>140</v>
      </c>
      <c r="S27">
        <v>25</v>
      </c>
      <c r="T27">
        <v>100</v>
      </c>
      <c r="U27">
        <v>20</v>
      </c>
      <c r="V27">
        <v>30</v>
      </c>
      <c r="W27">
        <v>25</v>
      </c>
      <c r="X27">
        <v>25</v>
      </c>
      <c r="Y27">
        <v>20</v>
      </c>
      <c r="Z27">
        <v>42</v>
      </c>
      <c r="AA27">
        <v>24</v>
      </c>
      <c r="AB27">
        <v>100</v>
      </c>
      <c r="AC27">
        <v>35</v>
      </c>
      <c r="AD27">
        <v>120</v>
      </c>
      <c r="AE27">
        <v>70</v>
      </c>
      <c r="AF27">
        <v>35</v>
      </c>
      <c r="AG27">
        <v>20</v>
      </c>
      <c r="AH27">
        <v>100</v>
      </c>
      <c r="AI27">
        <v>24</v>
      </c>
      <c r="AJ27">
        <v>30</v>
      </c>
      <c r="AK27">
        <v>96</v>
      </c>
      <c r="AL27">
        <v>35</v>
      </c>
      <c r="AM27">
        <v>20</v>
      </c>
      <c r="AN27">
        <v>24</v>
      </c>
      <c r="AO27">
        <v>35</v>
      </c>
      <c r="AP27">
        <v>42</v>
      </c>
      <c r="AQ27">
        <v>42</v>
      </c>
      <c r="AR27">
        <v>80</v>
      </c>
      <c r="AS27">
        <v>35</v>
      </c>
      <c r="AT27">
        <v>42</v>
      </c>
      <c r="AU27">
        <v>80</v>
      </c>
      <c r="AV27">
        <v>120</v>
      </c>
      <c r="AW27">
        <v>80</v>
      </c>
      <c r="AX27">
        <v>35</v>
      </c>
      <c r="AY27">
        <v>24</v>
      </c>
      <c r="AZ27">
        <v>96</v>
      </c>
      <c r="BA27">
        <v>20</v>
      </c>
      <c r="BB27">
        <v>35</v>
      </c>
      <c r="BC27">
        <v>120</v>
      </c>
      <c r="BD27">
        <v>168</v>
      </c>
      <c r="BE27">
        <v>80</v>
      </c>
      <c r="BF27">
        <v>35</v>
      </c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</row>
    <row r="28" spans="1:108" x14ac:dyDescent="0.2">
      <c r="H28" s="64">
        <v>26</v>
      </c>
      <c r="I28">
        <v>100</v>
      </c>
      <c r="J28">
        <v>25</v>
      </c>
      <c r="K28">
        <v>20</v>
      </c>
      <c r="L28">
        <v>100</v>
      </c>
      <c r="M28">
        <v>42</v>
      </c>
      <c r="N28">
        <v>20</v>
      </c>
      <c r="O28">
        <v>100</v>
      </c>
      <c r="P28">
        <v>35</v>
      </c>
      <c r="Q28">
        <v>35</v>
      </c>
      <c r="R28">
        <v>30</v>
      </c>
      <c r="S28">
        <v>80</v>
      </c>
      <c r="T28">
        <v>35</v>
      </c>
      <c r="U28">
        <v>35</v>
      </c>
      <c r="V28">
        <v>20</v>
      </c>
      <c r="W28">
        <v>25</v>
      </c>
      <c r="X28">
        <v>42</v>
      </c>
      <c r="Y28">
        <v>70</v>
      </c>
      <c r="Z28">
        <v>120</v>
      </c>
      <c r="AA28">
        <v>42</v>
      </c>
      <c r="AB28">
        <v>35</v>
      </c>
      <c r="AC28">
        <v>35</v>
      </c>
      <c r="AD28">
        <v>84</v>
      </c>
      <c r="AE28">
        <v>100</v>
      </c>
      <c r="AF28">
        <v>42</v>
      </c>
      <c r="AG28">
        <v>35</v>
      </c>
      <c r="AH28">
        <v>200</v>
      </c>
      <c r="AI28">
        <v>35</v>
      </c>
      <c r="AJ28">
        <v>20</v>
      </c>
      <c r="AK28">
        <v>35</v>
      </c>
      <c r="AL28">
        <v>96</v>
      </c>
      <c r="AM28">
        <v>35</v>
      </c>
      <c r="AN28">
        <v>30</v>
      </c>
      <c r="AO28">
        <v>20</v>
      </c>
      <c r="AP28">
        <v>100</v>
      </c>
      <c r="AQ28">
        <v>42</v>
      </c>
      <c r="AR28">
        <v>168</v>
      </c>
      <c r="AS28">
        <v>70</v>
      </c>
      <c r="AT28">
        <v>168</v>
      </c>
      <c r="AU28">
        <v>100</v>
      </c>
      <c r="AV28">
        <v>84</v>
      </c>
      <c r="AW28">
        <v>35</v>
      </c>
      <c r="AX28">
        <v>96</v>
      </c>
      <c r="AY28">
        <v>20</v>
      </c>
      <c r="AZ28">
        <v>42</v>
      </c>
      <c r="BA28">
        <v>24</v>
      </c>
      <c r="BB28">
        <v>100</v>
      </c>
      <c r="BC28">
        <v>20</v>
      </c>
      <c r="BD28">
        <v>42</v>
      </c>
      <c r="BE28">
        <v>120</v>
      </c>
      <c r="BF28">
        <v>20</v>
      </c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</row>
    <row r="29" spans="1:108" x14ac:dyDescent="0.2">
      <c r="H29" s="64">
        <v>27</v>
      </c>
      <c r="I29">
        <v>100</v>
      </c>
      <c r="J29">
        <v>35</v>
      </c>
      <c r="K29">
        <v>24</v>
      </c>
      <c r="L29">
        <v>120</v>
      </c>
      <c r="M29">
        <v>42</v>
      </c>
      <c r="N29">
        <v>168</v>
      </c>
      <c r="O29">
        <v>24</v>
      </c>
      <c r="P29">
        <v>25</v>
      </c>
      <c r="Q29">
        <v>24</v>
      </c>
      <c r="R29">
        <v>140</v>
      </c>
      <c r="S29">
        <v>20</v>
      </c>
      <c r="T29">
        <v>100</v>
      </c>
      <c r="U29">
        <v>24</v>
      </c>
      <c r="V29">
        <v>140</v>
      </c>
      <c r="W29">
        <v>42</v>
      </c>
      <c r="X29">
        <v>42</v>
      </c>
      <c r="Y29">
        <v>42</v>
      </c>
      <c r="Z29">
        <v>25</v>
      </c>
      <c r="AA29">
        <v>140</v>
      </c>
      <c r="AB29">
        <v>25</v>
      </c>
      <c r="AC29">
        <v>140</v>
      </c>
      <c r="AD29">
        <v>42</v>
      </c>
      <c r="AE29">
        <v>25</v>
      </c>
      <c r="AF29">
        <v>84</v>
      </c>
      <c r="AG29">
        <v>120</v>
      </c>
      <c r="AH29">
        <v>25</v>
      </c>
      <c r="AI29">
        <v>42</v>
      </c>
      <c r="AJ29">
        <v>25</v>
      </c>
      <c r="AK29">
        <v>35</v>
      </c>
      <c r="AL29">
        <v>42</v>
      </c>
      <c r="AM29">
        <v>25</v>
      </c>
      <c r="AN29">
        <v>30</v>
      </c>
      <c r="AO29">
        <v>20</v>
      </c>
      <c r="AP29">
        <v>84</v>
      </c>
      <c r="AQ29">
        <v>35</v>
      </c>
      <c r="AR29">
        <v>100</v>
      </c>
      <c r="AS29">
        <v>20</v>
      </c>
      <c r="AT29">
        <v>70</v>
      </c>
      <c r="AU29">
        <v>42</v>
      </c>
      <c r="AV29">
        <v>20</v>
      </c>
      <c r="AW29">
        <v>42</v>
      </c>
      <c r="AX29">
        <v>30</v>
      </c>
      <c r="AY29">
        <v>70</v>
      </c>
      <c r="AZ29">
        <v>240</v>
      </c>
      <c r="BA29">
        <v>70</v>
      </c>
      <c r="BB29">
        <v>140</v>
      </c>
      <c r="BC29">
        <v>30</v>
      </c>
      <c r="BD29">
        <v>200</v>
      </c>
      <c r="BE29">
        <v>96</v>
      </c>
      <c r="BF29">
        <v>100</v>
      </c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</row>
    <row r="30" spans="1:108" x14ac:dyDescent="0.2">
      <c r="H30" s="64">
        <v>28</v>
      </c>
      <c r="I30">
        <v>100</v>
      </c>
      <c r="J30">
        <v>100</v>
      </c>
      <c r="K30">
        <v>35</v>
      </c>
      <c r="L30">
        <v>42</v>
      </c>
      <c r="M30">
        <v>70</v>
      </c>
      <c r="N30">
        <v>42</v>
      </c>
      <c r="O30">
        <v>35</v>
      </c>
      <c r="P30">
        <v>140</v>
      </c>
      <c r="Q30">
        <v>35</v>
      </c>
      <c r="R30">
        <v>20</v>
      </c>
      <c r="S30">
        <v>42</v>
      </c>
      <c r="T30">
        <v>100</v>
      </c>
      <c r="U30">
        <v>96</v>
      </c>
      <c r="V30">
        <v>35</v>
      </c>
      <c r="W30">
        <v>100</v>
      </c>
      <c r="X30">
        <v>20</v>
      </c>
      <c r="Y30">
        <v>20</v>
      </c>
      <c r="Z30">
        <v>200</v>
      </c>
      <c r="AA30">
        <v>80</v>
      </c>
      <c r="AB30">
        <v>100</v>
      </c>
      <c r="AC30">
        <v>20</v>
      </c>
      <c r="AD30">
        <v>100</v>
      </c>
      <c r="AE30">
        <v>120</v>
      </c>
      <c r="AF30">
        <v>30</v>
      </c>
      <c r="AG30">
        <v>120</v>
      </c>
      <c r="AH30">
        <v>42</v>
      </c>
      <c r="AI30">
        <v>35</v>
      </c>
      <c r="AJ30">
        <v>30</v>
      </c>
      <c r="AK30">
        <v>35</v>
      </c>
      <c r="AL30">
        <v>35</v>
      </c>
      <c r="AM30">
        <v>140</v>
      </c>
      <c r="AN30">
        <v>35</v>
      </c>
      <c r="AO30">
        <v>25</v>
      </c>
      <c r="AP30">
        <v>35</v>
      </c>
      <c r="AQ30">
        <v>30</v>
      </c>
      <c r="AR30">
        <v>35</v>
      </c>
      <c r="AS30">
        <v>24</v>
      </c>
      <c r="AT30">
        <v>25</v>
      </c>
      <c r="AU30">
        <v>168</v>
      </c>
      <c r="AV30">
        <v>35</v>
      </c>
      <c r="AW30">
        <v>80</v>
      </c>
      <c r="AX30">
        <v>42</v>
      </c>
      <c r="AY30">
        <v>35</v>
      </c>
      <c r="AZ30">
        <v>42</v>
      </c>
      <c r="BA30">
        <v>35</v>
      </c>
      <c r="BB30">
        <v>42</v>
      </c>
      <c r="BC30">
        <v>80</v>
      </c>
      <c r="BD30">
        <v>140</v>
      </c>
      <c r="BE30">
        <v>70</v>
      </c>
      <c r="BF30">
        <v>20</v>
      </c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</row>
    <row r="31" spans="1:108" x14ac:dyDescent="0.2">
      <c r="H31" s="64">
        <v>29</v>
      </c>
      <c r="I31">
        <v>240</v>
      </c>
      <c r="J31">
        <v>80</v>
      </c>
      <c r="K31">
        <v>25</v>
      </c>
      <c r="L31">
        <v>70</v>
      </c>
      <c r="M31">
        <v>35</v>
      </c>
      <c r="N31">
        <v>100</v>
      </c>
      <c r="O31">
        <v>30</v>
      </c>
      <c r="P31">
        <v>35</v>
      </c>
      <c r="Q31">
        <v>80</v>
      </c>
      <c r="R31">
        <v>35</v>
      </c>
      <c r="S31">
        <v>100</v>
      </c>
      <c r="T31">
        <v>35</v>
      </c>
      <c r="U31">
        <v>168</v>
      </c>
      <c r="V31">
        <v>168</v>
      </c>
      <c r="W31">
        <v>100</v>
      </c>
      <c r="X31">
        <v>35</v>
      </c>
      <c r="Y31">
        <v>140</v>
      </c>
      <c r="Z31">
        <v>30</v>
      </c>
      <c r="AA31">
        <v>42</v>
      </c>
      <c r="AB31">
        <v>80</v>
      </c>
      <c r="AC31">
        <v>35</v>
      </c>
      <c r="AD31">
        <v>84</v>
      </c>
      <c r="AE31">
        <v>70</v>
      </c>
      <c r="AF31">
        <v>25</v>
      </c>
      <c r="AG31">
        <v>120</v>
      </c>
      <c r="AH31">
        <v>20</v>
      </c>
      <c r="AI31">
        <v>42</v>
      </c>
      <c r="AJ31">
        <v>24</v>
      </c>
      <c r="AK31">
        <v>168</v>
      </c>
      <c r="AL31">
        <v>140</v>
      </c>
      <c r="AM31">
        <v>42</v>
      </c>
      <c r="AN31">
        <v>84</v>
      </c>
      <c r="AO31">
        <v>42</v>
      </c>
      <c r="AP31">
        <v>20</v>
      </c>
      <c r="AQ31">
        <v>20</v>
      </c>
      <c r="AR31">
        <v>30</v>
      </c>
      <c r="AS31">
        <v>20</v>
      </c>
      <c r="AT31">
        <v>25</v>
      </c>
      <c r="AU31">
        <v>100</v>
      </c>
      <c r="AV31">
        <v>120</v>
      </c>
      <c r="AW31">
        <v>42</v>
      </c>
      <c r="AX31">
        <v>100</v>
      </c>
      <c r="AY31">
        <v>96</v>
      </c>
      <c r="AZ31">
        <v>35</v>
      </c>
      <c r="BA31">
        <v>96</v>
      </c>
      <c r="BB31">
        <v>24</v>
      </c>
      <c r="BC31">
        <v>24</v>
      </c>
      <c r="BD31">
        <v>240</v>
      </c>
      <c r="BE31">
        <v>100</v>
      </c>
      <c r="BF31">
        <v>80</v>
      </c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</row>
    <row r="32" spans="1:108" x14ac:dyDescent="0.2">
      <c r="H32" s="64">
        <v>30</v>
      </c>
      <c r="I32">
        <v>96</v>
      </c>
      <c r="J32">
        <v>20</v>
      </c>
      <c r="K32">
        <v>25</v>
      </c>
      <c r="L32">
        <v>20</v>
      </c>
      <c r="M32">
        <v>30</v>
      </c>
      <c r="N32">
        <v>42</v>
      </c>
      <c r="O32">
        <v>35</v>
      </c>
      <c r="P32">
        <v>42</v>
      </c>
      <c r="Q32">
        <v>100</v>
      </c>
      <c r="R32">
        <v>42</v>
      </c>
      <c r="S32">
        <v>42</v>
      </c>
      <c r="T32">
        <v>25</v>
      </c>
      <c r="U32">
        <v>140</v>
      </c>
      <c r="V32">
        <v>25</v>
      </c>
      <c r="W32">
        <v>24</v>
      </c>
      <c r="X32">
        <v>35</v>
      </c>
      <c r="Y32">
        <v>70</v>
      </c>
      <c r="Z32">
        <v>35</v>
      </c>
      <c r="AA32">
        <v>100</v>
      </c>
      <c r="AB32">
        <v>24</v>
      </c>
      <c r="AC32">
        <v>20</v>
      </c>
      <c r="AD32">
        <v>25</v>
      </c>
      <c r="AE32">
        <v>240</v>
      </c>
      <c r="AF32">
        <v>42</v>
      </c>
      <c r="AG32">
        <v>120</v>
      </c>
      <c r="AH32">
        <v>140</v>
      </c>
      <c r="AI32">
        <v>96</v>
      </c>
      <c r="AJ32">
        <v>42</v>
      </c>
      <c r="AK32">
        <v>35</v>
      </c>
      <c r="AL32">
        <v>96</v>
      </c>
      <c r="AM32">
        <v>35</v>
      </c>
      <c r="AN32">
        <v>20</v>
      </c>
      <c r="AO32">
        <v>140</v>
      </c>
      <c r="AP32">
        <v>42</v>
      </c>
      <c r="AQ32">
        <v>70</v>
      </c>
      <c r="AR32">
        <v>100</v>
      </c>
      <c r="AS32">
        <v>120</v>
      </c>
      <c r="AT32">
        <v>35</v>
      </c>
      <c r="AU32">
        <v>30</v>
      </c>
      <c r="AV32">
        <v>140</v>
      </c>
      <c r="AW32">
        <v>100</v>
      </c>
      <c r="AX32">
        <v>35</v>
      </c>
      <c r="AY32">
        <v>120</v>
      </c>
      <c r="AZ32">
        <v>84</v>
      </c>
      <c r="BA32">
        <v>30</v>
      </c>
      <c r="BB32">
        <v>42</v>
      </c>
      <c r="BC32">
        <v>35</v>
      </c>
      <c r="BD32">
        <v>25</v>
      </c>
      <c r="BE32">
        <v>35</v>
      </c>
      <c r="BF32">
        <v>35</v>
      </c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</row>
    <row r="33" spans="8:108" x14ac:dyDescent="0.2">
      <c r="H33" s="64">
        <v>31</v>
      </c>
      <c r="I33">
        <v>30</v>
      </c>
      <c r="J33">
        <v>70</v>
      </c>
      <c r="K33">
        <v>84</v>
      </c>
      <c r="L33">
        <v>100</v>
      </c>
      <c r="M33">
        <v>24</v>
      </c>
      <c r="N33">
        <v>70</v>
      </c>
      <c r="O33">
        <v>35</v>
      </c>
      <c r="P33">
        <v>42</v>
      </c>
      <c r="Q33">
        <v>30</v>
      </c>
      <c r="R33">
        <v>20</v>
      </c>
      <c r="S33">
        <v>24</v>
      </c>
      <c r="T33">
        <v>42</v>
      </c>
      <c r="U33">
        <v>35</v>
      </c>
      <c r="V33">
        <v>42</v>
      </c>
      <c r="W33">
        <v>35</v>
      </c>
      <c r="X33">
        <v>96</v>
      </c>
      <c r="Y33">
        <v>20</v>
      </c>
      <c r="Z33">
        <v>20</v>
      </c>
      <c r="AA33">
        <v>100</v>
      </c>
      <c r="AB33">
        <v>35</v>
      </c>
      <c r="AC33">
        <v>35</v>
      </c>
      <c r="AD33">
        <v>24</v>
      </c>
      <c r="AE33">
        <v>20</v>
      </c>
      <c r="AF33">
        <v>24</v>
      </c>
      <c r="AG33">
        <v>80</v>
      </c>
      <c r="AH33">
        <v>35</v>
      </c>
      <c r="AI33">
        <v>35</v>
      </c>
      <c r="AJ33">
        <v>100</v>
      </c>
      <c r="AK33">
        <v>25</v>
      </c>
      <c r="AL33">
        <v>25</v>
      </c>
      <c r="AM33">
        <v>120</v>
      </c>
      <c r="AN33">
        <v>20</v>
      </c>
      <c r="AO33">
        <v>100</v>
      </c>
      <c r="AP33">
        <v>35</v>
      </c>
      <c r="AQ33">
        <v>25</v>
      </c>
      <c r="AR33">
        <v>20</v>
      </c>
      <c r="AS33">
        <v>140</v>
      </c>
      <c r="AT33">
        <v>140</v>
      </c>
      <c r="AU33">
        <v>42</v>
      </c>
      <c r="AV33">
        <v>120</v>
      </c>
      <c r="AW33">
        <v>24</v>
      </c>
      <c r="AX33">
        <v>35</v>
      </c>
      <c r="AY33">
        <v>168</v>
      </c>
      <c r="AZ33">
        <v>25</v>
      </c>
      <c r="BA33">
        <v>42</v>
      </c>
      <c r="BB33">
        <v>20</v>
      </c>
      <c r="BC33">
        <v>35</v>
      </c>
      <c r="BD33">
        <v>25</v>
      </c>
      <c r="BE33">
        <v>140</v>
      </c>
      <c r="BF33">
        <v>24</v>
      </c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</row>
    <row r="34" spans="8:108" x14ac:dyDescent="0.2">
      <c r="H34" s="64">
        <v>32</v>
      </c>
      <c r="I34">
        <v>35</v>
      </c>
      <c r="J34">
        <v>24</v>
      </c>
      <c r="K34">
        <v>42</v>
      </c>
      <c r="L34">
        <v>35</v>
      </c>
      <c r="M34">
        <v>35</v>
      </c>
      <c r="N34">
        <v>25</v>
      </c>
      <c r="O34">
        <v>25</v>
      </c>
      <c r="P34">
        <v>80</v>
      </c>
      <c r="Q34">
        <v>80</v>
      </c>
      <c r="R34">
        <v>30</v>
      </c>
      <c r="S34">
        <v>120</v>
      </c>
      <c r="T34">
        <v>20</v>
      </c>
      <c r="U34">
        <v>140</v>
      </c>
      <c r="V34">
        <v>100</v>
      </c>
      <c r="W34">
        <v>35</v>
      </c>
      <c r="X34">
        <v>42</v>
      </c>
      <c r="Y34">
        <v>96</v>
      </c>
      <c r="Z34">
        <v>80</v>
      </c>
      <c r="AA34">
        <v>96</v>
      </c>
      <c r="AB34">
        <v>140</v>
      </c>
      <c r="AC34">
        <v>20</v>
      </c>
      <c r="AD34">
        <v>240</v>
      </c>
      <c r="AE34">
        <v>42</v>
      </c>
      <c r="AF34">
        <v>25</v>
      </c>
      <c r="AG34">
        <v>168</v>
      </c>
      <c r="AH34">
        <v>100</v>
      </c>
      <c r="AI34">
        <v>42</v>
      </c>
      <c r="AJ34">
        <v>42</v>
      </c>
      <c r="AK34">
        <v>84</v>
      </c>
      <c r="AL34">
        <v>120</v>
      </c>
      <c r="AM34">
        <v>20</v>
      </c>
      <c r="AN34">
        <v>80</v>
      </c>
      <c r="AO34">
        <v>100</v>
      </c>
      <c r="AP34">
        <v>42</v>
      </c>
      <c r="AQ34">
        <v>96</v>
      </c>
      <c r="AR34">
        <v>100</v>
      </c>
      <c r="AS34">
        <v>20</v>
      </c>
      <c r="AT34">
        <v>42</v>
      </c>
      <c r="AU34">
        <v>120</v>
      </c>
      <c r="AV34">
        <v>35</v>
      </c>
      <c r="AW34">
        <v>70</v>
      </c>
      <c r="AX34">
        <v>24</v>
      </c>
      <c r="AY34">
        <v>20</v>
      </c>
      <c r="AZ34">
        <v>100</v>
      </c>
      <c r="BA34">
        <v>35</v>
      </c>
      <c r="BB34">
        <v>35</v>
      </c>
      <c r="BC34">
        <v>35</v>
      </c>
      <c r="BD34">
        <v>25</v>
      </c>
      <c r="BE34">
        <v>24</v>
      </c>
      <c r="BF34">
        <v>140</v>
      </c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</row>
    <row r="35" spans="8:108" x14ac:dyDescent="0.2">
      <c r="H35" s="64">
        <v>33</v>
      </c>
      <c r="I35">
        <v>35</v>
      </c>
      <c r="J35">
        <v>80</v>
      </c>
      <c r="K35">
        <v>35</v>
      </c>
      <c r="L35">
        <v>120</v>
      </c>
      <c r="M35">
        <v>25</v>
      </c>
      <c r="N35">
        <v>50</v>
      </c>
      <c r="O35">
        <v>35</v>
      </c>
      <c r="P35">
        <v>70</v>
      </c>
      <c r="Q35">
        <v>42</v>
      </c>
      <c r="R35">
        <v>25</v>
      </c>
      <c r="S35">
        <v>20</v>
      </c>
      <c r="T35">
        <v>42</v>
      </c>
      <c r="U35">
        <v>20</v>
      </c>
      <c r="V35">
        <v>70</v>
      </c>
      <c r="W35">
        <v>35</v>
      </c>
      <c r="X35">
        <v>70</v>
      </c>
      <c r="Y35">
        <v>168</v>
      </c>
      <c r="Z35">
        <v>25</v>
      </c>
      <c r="AA35">
        <v>42</v>
      </c>
      <c r="AB35">
        <v>100</v>
      </c>
      <c r="AC35">
        <v>25</v>
      </c>
      <c r="AD35">
        <v>35</v>
      </c>
      <c r="AE35">
        <v>24</v>
      </c>
      <c r="AF35">
        <v>200</v>
      </c>
      <c r="AG35">
        <v>100</v>
      </c>
      <c r="AH35">
        <v>100</v>
      </c>
      <c r="AI35">
        <v>35</v>
      </c>
      <c r="AJ35">
        <v>35</v>
      </c>
      <c r="AK35">
        <v>20</v>
      </c>
      <c r="AL35">
        <v>30</v>
      </c>
      <c r="AM35">
        <v>80</v>
      </c>
      <c r="AN35">
        <v>35</v>
      </c>
      <c r="AO35">
        <v>42</v>
      </c>
      <c r="AP35">
        <v>84</v>
      </c>
      <c r="AQ35">
        <v>100</v>
      </c>
      <c r="AR35">
        <v>120</v>
      </c>
      <c r="AS35">
        <v>35</v>
      </c>
      <c r="AT35">
        <v>35</v>
      </c>
      <c r="AU35">
        <v>100</v>
      </c>
      <c r="AV35">
        <v>25</v>
      </c>
      <c r="AW35">
        <v>42</v>
      </c>
      <c r="AX35">
        <v>24</v>
      </c>
      <c r="AY35">
        <v>120</v>
      </c>
      <c r="AZ35">
        <v>35</v>
      </c>
      <c r="BA35">
        <v>42</v>
      </c>
      <c r="BB35">
        <v>20</v>
      </c>
      <c r="BC35">
        <v>100</v>
      </c>
      <c r="BD35">
        <v>80</v>
      </c>
      <c r="BE35">
        <v>35</v>
      </c>
      <c r="BF35">
        <v>35</v>
      </c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</row>
    <row r="36" spans="8:108" x14ac:dyDescent="0.2">
      <c r="H36" s="64">
        <v>34</v>
      </c>
      <c r="I36">
        <v>35</v>
      </c>
      <c r="J36">
        <v>24</v>
      </c>
      <c r="K36">
        <v>140</v>
      </c>
      <c r="L36">
        <v>35</v>
      </c>
      <c r="M36">
        <v>25</v>
      </c>
      <c r="N36">
        <v>70</v>
      </c>
      <c r="O36">
        <v>168</v>
      </c>
      <c r="P36">
        <v>42</v>
      </c>
      <c r="Q36">
        <v>20</v>
      </c>
      <c r="R36">
        <v>120</v>
      </c>
      <c r="S36">
        <v>42</v>
      </c>
      <c r="T36">
        <v>84</v>
      </c>
      <c r="U36">
        <v>35</v>
      </c>
      <c r="V36">
        <v>80</v>
      </c>
      <c r="W36">
        <v>35</v>
      </c>
      <c r="X36">
        <v>20</v>
      </c>
      <c r="Y36">
        <v>25</v>
      </c>
      <c r="Z36">
        <v>42</v>
      </c>
      <c r="AA36">
        <v>35</v>
      </c>
      <c r="AB36">
        <v>100</v>
      </c>
      <c r="AC36">
        <v>42</v>
      </c>
      <c r="AD36">
        <v>42</v>
      </c>
      <c r="AE36">
        <v>20</v>
      </c>
      <c r="AF36">
        <v>42</v>
      </c>
      <c r="AG36">
        <v>30</v>
      </c>
      <c r="AH36">
        <v>42</v>
      </c>
      <c r="AI36">
        <v>84</v>
      </c>
      <c r="AJ36">
        <v>35</v>
      </c>
      <c r="AK36">
        <v>42</v>
      </c>
      <c r="AL36">
        <v>30</v>
      </c>
      <c r="AM36">
        <v>24</v>
      </c>
      <c r="AN36">
        <v>35</v>
      </c>
      <c r="AO36">
        <v>120</v>
      </c>
      <c r="AP36">
        <v>35</v>
      </c>
      <c r="AQ36">
        <v>35</v>
      </c>
      <c r="AR36">
        <v>25</v>
      </c>
      <c r="AS36">
        <v>120</v>
      </c>
      <c r="AT36">
        <v>100</v>
      </c>
      <c r="AU36">
        <v>96</v>
      </c>
      <c r="AV36">
        <v>24</v>
      </c>
      <c r="AW36">
        <v>100</v>
      </c>
      <c r="AX36">
        <v>42</v>
      </c>
      <c r="AY36">
        <v>35</v>
      </c>
      <c r="AZ36">
        <v>168</v>
      </c>
      <c r="BA36">
        <v>80</v>
      </c>
      <c r="BB36">
        <v>96</v>
      </c>
      <c r="BC36">
        <v>35</v>
      </c>
      <c r="BD36">
        <v>120</v>
      </c>
      <c r="BE36">
        <v>35</v>
      </c>
      <c r="BF36">
        <v>140</v>
      </c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</row>
    <row r="37" spans="8:108" x14ac:dyDescent="0.2">
      <c r="H37" s="64">
        <v>35</v>
      </c>
      <c r="I37">
        <v>35</v>
      </c>
      <c r="J37">
        <v>25</v>
      </c>
      <c r="K37">
        <v>24</v>
      </c>
      <c r="L37">
        <v>20</v>
      </c>
      <c r="M37">
        <v>35</v>
      </c>
      <c r="N37">
        <v>200</v>
      </c>
      <c r="O37">
        <v>80</v>
      </c>
      <c r="P37">
        <v>42</v>
      </c>
      <c r="Q37">
        <v>42</v>
      </c>
      <c r="R37">
        <v>35</v>
      </c>
      <c r="S37">
        <v>42</v>
      </c>
      <c r="T37">
        <v>25</v>
      </c>
      <c r="U37">
        <v>200</v>
      </c>
      <c r="V37">
        <v>25</v>
      </c>
      <c r="W37">
        <v>80</v>
      </c>
      <c r="X37">
        <v>24</v>
      </c>
      <c r="Y37">
        <v>24</v>
      </c>
      <c r="Z37">
        <v>42</v>
      </c>
      <c r="AA37">
        <v>30</v>
      </c>
      <c r="AB37">
        <v>120</v>
      </c>
      <c r="AC37">
        <v>24</v>
      </c>
      <c r="AD37">
        <v>35</v>
      </c>
      <c r="AE37">
        <v>35</v>
      </c>
      <c r="AF37">
        <v>80</v>
      </c>
      <c r="AG37">
        <v>42</v>
      </c>
      <c r="AH37">
        <v>20</v>
      </c>
      <c r="AI37">
        <v>25</v>
      </c>
      <c r="AJ37">
        <v>70</v>
      </c>
      <c r="AK37">
        <v>70</v>
      </c>
      <c r="AL37">
        <v>42</v>
      </c>
      <c r="AM37">
        <v>35</v>
      </c>
      <c r="AN37">
        <v>35</v>
      </c>
      <c r="AO37">
        <v>42</v>
      </c>
      <c r="AP37">
        <v>35</v>
      </c>
      <c r="AQ37">
        <v>35</v>
      </c>
      <c r="AR37">
        <v>80</v>
      </c>
      <c r="AS37">
        <v>200</v>
      </c>
      <c r="AT37">
        <v>42</v>
      </c>
      <c r="AU37">
        <v>100</v>
      </c>
      <c r="AV37">
        <v>96</v>
      </c>
      <c r="AW37">
        <v>25</v>
      </c>
      <c r="AX37">
        <v>80</v>
      </c>
      <c r="AY37">
        <v>120</v>
      </c>
      <c r="AZ37">
        <v>35</v>
      </c>
      <c r="BA37">
        <v>140</v>
      </c>
      <c r="BB37">
        <v>20</v>
      </c>
      <c r="BC37">
        <v>42</v>
      </c>
      <c r="BD37">
        <v>42</v>
      </c>
      <c r="BE37">
        <v>42</v>
      </c>
      <c r="BF37">
        <v>100</v>
      </c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</row>
    <row r="38" spans="8:108" x14ac:dyDescent="0.2">
      <c r="H38" s="64">
        <v>36</v>
      </c>
      <c r="I38">
        <v>35</v>
      </c>
      <c r="J38">
        <v>42</v>
      </c>
      <c r="K38">
        <v>20</v>
      </c>
      <c r="L38">
        <v>35</v>
      </c>
      <c r="M38">
        <v>120</v>
      </c>
      <c r="N38">
        <v>120</v>
      </c>
      <c r="O38">
        <v>42</v>
      </c>
      <c r="P38">
        <v>20</v>
      </c>
      <c r="Q38">
        <v>168</v>
      </c>
      <c r="R38">
        <v>42</v>
      </c>
      <c r="S38">
        <v>96</v>
      </c>
      <c r="T38">
        <v>140</v>
      </c>
      <c r="U38">
        <v>100</v>
      </c>
      <c r="V38">
        <v>120</v>
      </c>
      <c r="W38">
        <v>120</v>
      </c>
      <c r="X38">
        <v>35</v>
      </c>
      <c r="Y38">
        <v>70</v>
      </c>
      <c r="Z38">
        <v>42</v>
      </c>
      <c r="AA38">
        <v>120</v>
      </c>
      <c r="AB38">
        <v>30</v>
      </c>
      <c r="AC38">
        <v>84</v>
      </c>
      <c r="AD38">
        <v>20</v>
      </c>
      <c r="AE38">
        <v>120</v>
      </c>
      <c r="AF38">
        <v>35</v>
      </c>
      <c r="AG38">
        <v>80</v>
      </c>
      <c r="AH38">
        <v>25</v>
      </c>
      <c r="AI38">
        <v>30</v>
      </c>
      <c r="AJ38">
        <v>100</v>
      </c>
      <c r="AK38">
        <v>168</v>
      </c>
      <c r="AL38">
        <v>35</v>
      </c>
      <c r="AM38">
        <v>20</v>
      </c>
      <c r="AN38">
        <v>100</v>
      </c>
      <c r="AO38">
        <v>42</v>
      </c>
      <c r="AP38">
        <v>120</v>
      </c>
      <c r="AQ38">
        <v>35</v>
      </c>
      <c r="AR38">
        <v>30</v>
      </c>
      <c r="AS38">
        <v>200</v>
      </c>
      <c r="AT38">
        <v>120</v>
      </c>
      <c r="AU38">
        <v>35</v>
      </c>
      <c r="AV38">
        <v>35</v>
      </c>
      <c r="AW38">
        <v>35</v>
      </c>
      <c r="AX38">
        <v>35</v>
      </c>
      <c r="AY38">
        <v>35</v>
      </c>
      <c r="AZ38">
        <v>35</v>
      </c>
      <c r="BA38">
        <v>20</v>
      </c>
      <c r="BB38">
        <v>35</v>
      </c>
      <c r="BC38">
        <v>80</v>
      </c>
      <c r="BD38">
        <v>100</v>
      </c>
      <c r="BE38">
        <v>42</v>
      </c>
      <c r="BF38">
        <v>70</v>
      </c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</row>
    <row r="39" spans="8:108" x14ac:dyDescent="0.2">
      <c r="H39" s="64">
        <v>37</v>
      </c>
      <c r="I39">
        <v>100</v>
      </c>
      <c r="J39">
        <v>100</v>
      </c>
      <c r="K39">
        <v>35</v>
      </c>
      <c r="L39">
        <v>96</v>
      </c>
      <c r="M39">
        <v>42</v>
      </c>
      <c r="N39">
        <v>100</v>
      </c>
      <c r="O39">
        <v>140</v>
      </c>
      <c r="P39">
        <v>42</v>
      </c>
      <c r="Q39">
        <v>24</v>
      </c>
      <c r="R39">
        <v>42</v>
      </c>
      <c r="S39">
        <v>100</v>
      </c>
      <c r="T39">
        <v>84</v>
      </c>
      <c r="U39">
        <v>35</v>
      </c>
      <c r="V39">
        <v>60</v>
      </c>
      <c r="W39">
        <v>120</v>
      </c>
      <c r="X39">
        <v>120</v>
      </c>
      <c r="Y39">
        <v>168</v>
      </c>
      <c r="Z39">
        <v>35</v>
      </c>
      <c r="AA39">
        <v>70</v>
      </c>
      <c r="AB39">
        <v>70</v>
      </c>
      <c r="AC39">
        <v>35</v>
      </c>
      <c r="AD39">
        <v>25</v>
      </c>
      <c r="AE39">
        <v>35</v>
      </c>
      <c r="AF39">
        <v>30</v>
      </c>
      <c r="AG39">
        <v>42</v>
      </c>
      <c r="AH39">
        <v>42</v>
      </c>
      <c r="AI39">
        <v>140</v>
      </c>
      <c r="AJ39">
        <v>24</v>
      </c>
      <c r="AK39">
        <v>120</v>
      </c>
      <c r="AL39">
        <v>120</v>
      </c>
      <c r="AM39">
        <v>20</v>
      </c>
      <c r="AN39">
        <v>24</v>
      </c>
      <c r="AO39">
        <v>120</v>
      </c>
      <c r="AP39">
        <v>24</v>
      </c>
      <c r="AQ39">
        <v>35</v>
      </c>
      <c r="AR39">
        <v>24</v>
      </c>
      <c r="AS39">
        <v>42</v>
      </c>
      <c r="AT39">
        <v>100</v>
      </c>
      <c r="AU39">
        <v>42</v>
      </c>
      <c r="AV39">
        <v>30</v>
      </c>
      <c r="AW39">
        <v>35</v>
      </c>
      <c r="AX39">
        <v>120</v>
      </c>
      <c r="AY39">
        <v>35</v>
      </c>
      <c r="AZ39">
        <v>140</v>
      </c>
      <c r="BA39">
        <v>168</v>
      </c>
      <c r="BB39">
        <v>35</v>
      </c>
      <c r="BC39">
        <v>20</v>
      </c>
      <c r="BD39">
        <v>100</v>
      </c>
      <c r="BE39">
        <v>140</v>
      </c>
      <c r="BF39">
        <v>100</v>
      </c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</row>
    <row r="40" spans="8:108" x14ac:dyDescent="0.2">
      <c r="H40" s="64">
        <v>38</v>
      </c>
      <c r="I40">
        <v>168</v>
      </c>
      <c r="J40">
        <v>140</v>
      </c>
      <c r="K40">
        <v>100</v>
      </c>
      <c r="L40">
        <v>120</v>
      </c>
      <c r="M40">
        <v>35</v>
      </c>
      <c r="N40">
        <v>100</v>
      </c>
      <c r="O40">
        <v>42</v>
      </c>
      <c r="P40">
        <v>35</v>
      </c>
      <c r="Q40">
        <v>35</v>
      </c>
      <c r="R40">
        <v>20</v>
      </c>
      <c r="S40">
        <v>120</v>
      </c>
      <c r="T40">
        <v>24</v>
      </c>
      <c r="U40">
        <v>70</v>
      </c>
      <c r="V40">
        <v>24</v>
      </c>
      <c r="W40">
        <v>35</v>
      </c>
      <c r="X40">
        <v>100</v>
      </c>
      <c r="Y40">
        <v>42</v>
      </c>
      <c r="Z40">
        <v>24</v>
      </c>
      <c r="AA40">
        <v>96</v>
      </c>
      <c r="AB40">
        <v>42</v>
      </c>
      <c r="AC40">
        <v>120</v>
      </c>
      <c r="AD40">
        <v>35</v>
      </c>
      <c r="AE40">
        <v>240</v>
      </c>
      <c r="AF40">
        <v>20</v>
      </c>
      <c r="AG40">
        <v>35</v>
      </c>
      <c r="AH40">
        <v>35</v>
      </c>
      <c r="AI40">
        <v>70</v>
      </c>
      <c r="AJ40">
        <v>100</v>
      </c>
      <c r="AK40">
        <v>100</v>
      </c>
      <c r="AL40">
        <v>35</v>
      </c>
      <c r="AM40">
        <v>35</v>
      </c>
      <c r="AN40">
        <v>24</v>
      </c>
      <c r="AO40">
        <v>35</v>
      </c>
      <c r="AP40">
        <v>100</v>
      </c>
      <c r="AQ40">
        <v>30</v>
      </c>
      <c r="AR40">
        <v>20</v>
      </c>
      <c r="AS40">
        <v>30</v>
      </c>
      <c r="AT40">
        <v>25</v>
      </c>
      <c r="AU40">
        <v>120</v>
      </c>
      <c r="AV40">
        <v>80</v>
      </c>
      <c r="AW40">
        <v>24</v>
      </c>
      <c r="AX40">
        <v>20</v>
      </c>
      <c r="AY40">
        <v>100</v>
      </c>
      <c r="AZ40">
        <v>24</v>
      </c>
      <c r="BA40">
        <v>35</v>
      </c>
      <c r="BB40">
        <v>35</v>
      </c>
      <c r="BC40">
        <v>42</v>
      </c>
      <c r="BD40">
        <v>25</v>
      </c>
      <c r="BE40">
        <v>120</v>
      </c>
      <c r="BF40">
        <v>70</v>
      </c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</row>
    <row r="41" spans="8:108" x14ac:dyDescent="0.2">
      <c r="H41" s="64">
        <v>39</v>
      </c>
      <c r="I41">
        <v>70</v>
      </c>
      <c r="J41">
        <v>20</v>
      </c>
      <c r="K41">
        <v>35</v>
      </c>
      <c r="L41">
        <v>42</v>
      </c>
      <c r="M41">
        <v>35</v>
      </c>
      <c r="N41">
        <v>24</v>
      </c>
      <c r="O41">
        <v>70</v>
      </c>
      <c r="P41">
        <v>80</v>
      </c>
      <c r="Q41">
        <v>140</v>
      </c>
      <c r="R41">
        <v>25</v>
      </c>
      <c r="S41">
        <v>42</v>
      </c>
      <c r="T41">
        <v>20</v>
      </c>
      <c r="U41">
        <v>35</v>
      </c>
      <c r="V41">
        <v>100</v>
      </c>
      <c r="W41">
        <v>20</v>
      </c>
      <c r="X41">
        <v>30</v>
      </c>
      <c r="Y41">
        <v>20</v>
      </c>
      <c r="Z41">
        <v>200</v>
      </c>
      <c r="AA41">
        <v>100</v>
      </c>
      <c r="AB41">
        <v>100</v>
      </c>
      <c r="AC41">
        <v>100</v>
      </c>
      <c r="AD41">
        <v>24</v>
      </c>
      <c r="AE41">
        <v>120</v>
      </c>
      <c r="AF41">
        <v>100</v>
      </c>
      <c r="AG41">
        <v>30</v>
      </c>
      <c r="AH41">
        <v>35</v>
      </c>
      <c r="AI41">
        <v>25</v>
      </c>
      <c r="AJ41">
        <v>35</v>
      </c>
      <c r="AK41">
        <v>20</v>
      </c>
      <c r="AL41">
        <v>140</v>
      </c>
      <c r="AM41">
        <v>140</v>
      </c>
      <c r="AN41">
        <v>20</v>
      </c>
      <c r="AO41">
        <v>100</v>
      </c>
      <c r="AP41">
        <v>20</v>
      </c>
      <c r="AQ41">
        <v>35</v>
      </c>
      <c r="AR41">
        <v>80</v>
      </c>
      <c r="AS41">
        <v>96</v>
      </c>
      <c r="AT41">
        <v>25</v>
      </c>
      <c r="AU41">
        <v>20</v>
      </c>
      <c r="AV41">
        <v>96</v>
      </c>
      <c r="AW41">
        <v>20</v>
      </c>
      <c r="AX41">
        <v>25</v>
      </c>
      <c r="AY41">
        <v>100</v>
      </c>
      <c r="AZ41">
        <v>42</v>
      </c>
      <c r="BA41">
        <v>24</v>
      </c>
      <c r="BB41">
        <v>35</v>
      </c>
      <c r="BC41">
        <v>70</v>
      </c>
      <c r="BD41">
        <v>20</v>
      </c>
      <c r="BE41">
        <v>24</v>
      </c>
      <c r="BF41">
        <v>42</v>
      </c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</row>
    <row r="42" spans="8:108" x14ac:dyDescent="0.2">
      <c r="H42" s="64">
        <v>40</v>
      </c>
      <c r="I42">
        <v>70</v>
      </c>
      <c r="J42">
        <v>42</v>
      </c>
      <c r="K42">
        <v>100</v>
      </c>
      <c r="L42">
        <v>24</v>
      </c>
      <c r="M42">
        <v>30</v>
      </c>
      <c r="N42">
        <v>35</v>
      </c>
      <c r="O42">
        <v>30</v>
      </c>
      <c r="P42">
        <v>25</v>
      </c>
      <c r="Q42">
        <v>24</v>
      </c>
      <c r="R42">
        <v>140</v>
      </c>
      <c r="S42">
        <v>30</v>
      </c>
      <c r="T42">
        <v>100</v>
      </c>
      <c r="U42">
        <v>20</v>
      </c>
      <c r="V42">
        <v>120</v>
      </c>
      <c r="W42">
        <v>35</v>
      </c>
      <c r="X42">
        <v>168</v>
      </c>
      <c r="Y42">
        <v>24</v>
      </c>
      <c r="Z42">
        <v>42</v>
      </c>
      <c r="AA42">
        <v>35</v>
      </c>
      <c r="AB42">
        <v>120</v>
      </c>
      <c r="AC42">
        <v>20</v>
      </c>
      <c r="AD42">
        <v>140</v>
      </c>
      <c r="AE42">
        <v>140</v>
      </c>
      <c r="AF42">
        <v>35</v>
      </c>
      <c r="AG42">
        <v>42</v>
      </c>
      <c r="AH42">
        <v>84</v>
      </c>
      <c r="AI42">
        <v>140</v>
      </c>
      <c r="AJ42">
        <v>96</v>
      </c>
      <c r="AK42">
        <v>100</v>
      </c>
      <c r="AL42">
        <v>100</v>
      </c>
      <c r="AM42">
        <v>42</v>
      </c>
      <c r="AN42">
        <v>96</v>
      </c>
      <c r="AO42">
        <v>25</v>
      </c>
      <c r="AP42">
        <v>24</v>
      </c>
      <c r="AQ42">
        <v>168</v>
      </c>
      <c r="AR42">
        <v>20</v>
      </c>
      <c r="AS42">
        <v>24</v>
      </c>
      <c r="AT42">
        <v>20</v>
      </c>
      <c r="AU42">
        <v>35</v>
      </c>
      <c r="AV42">
        <v>120</v>
      </c>
      <c r="AW42">
        <v>120</v>
      </c>
      <c r="AX42">
        <v>100</v>
      </c>
      <c r="AY42">
        <v>100</v>
      </c>
      <c r="AZ42">
        <v>35</v>
      </c>
      <c r="BA42">
        <v>42</v>
      </c>
      <c r="BB42">
        <v>30</v>
      </c>
      <c r="BC42">
        <v>20</v>
      </c>
      <c r="BD42">
        <v>140</v>
      </c>
      <c r="BE42">
        <v>240</v>
      </c>
      <c r="BF42">
        <v>25</v>
      </c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</row>
    <row r="43" spans="8:108" x14ac:dyDescent="0.2">
      <c r="H43" s="64">
        <v>41</v>
      </c>
      <c r="I43">
        <v>35</v>
      </c>
      <c r="J43">
        <v>120</v>
      </c>
      <c r="K43">
        <v>84</v>
      </c>
      <c r="L43">
        <v>42</v>
      </c>
      <c r="M43">
        <v>25</v>
      </c>
      <c r="N43">
        <v>140</v>
      </c>
      <c r="O43">
        <v>70</v>
      </c>
      <c r="P43">
        <v>20</v>
      </c>
      <c r="Q43">
        <v>35</v>
      </c>
      <c r="R43">
        <v>20</v>
      </c>
      <c r="S43">
        <v>200</v>
      </c>
      <c r="T43">
        <v>35</v>
      </c>
      <c r="U43">
        <v>50</v>
      </c>
      <c r="V43">
        <v>140</v>
      </c>
      <c r="W43">
        <v>168</v>
      </c>
      <c r="X43">
        <v>35</v>
      </c>
      <c r="Y43">
        <v>100</v>
      </c>
      <c r="Z43">
        <v>35</v>
      </c>
      <c r="AA43">
        <v>35</v>
      </c>
      <c r="AB43">
        <v>80</v>
      </c>
      <c r="AC43">
        <v>35</v>
      </c>
      <c r="AD43">
        <v>80</v>
      </c>
      <c r="AE43">
        <v>140</v>
      </c>
      <c r="AF43">
        <v>35</v>
      </c>
      <c r="AG43">
        <v>120</v>
      </c>
      <c r="AH43">
        <v>100</v>
      </c>
      <c r="AI43">
        <v>80</v>
      </c>
      <c r="AJ43">
        <v>35</v>
      </c>
      <c r="AK43">
        <v>25</v>
      </c>
      <c r="AL43">
        <v>80</v>
      </c>
      <c r="AM43">
        <v>20</v>
      </c>
      <c r="AN43">
        <v>80</v>
      </c>
      <c r="AO43">
        <v>35</v>
      </c>
      <c r="AP43">
        <v>80</v>
      </c>
      <c r="AQ43">
        <v>35</v>
      </c>
      <c r="AR43">
        <v>140</v>
      </c>
      <c r="AS43">
        <v>20</v>
      </c>
      <c r="AT43">
        <v>25</v>
      </c>
      <c r="AU43">
        <v>35</v>
      </c>
      <c r="AV43">
        <v>96</v>
      </c>
      <c r="AW43">
        <v>120</v>
      </c>
      <c r="AX43">
        <v>100</v>
      </c>
      <c r="AY43">
        <v>100</v>
      </c>
      <c r="AZ43">
        <v>42</v>
      </c>
      <c r="BA43">
        <v>35</v>
      </c>
      <c r="BB43">
        <v>35</v>
      </c>
      <c r="BC43">
        <v>70</v>
      </c>
      <c r="BD43">
        <v>120</v>
      </c>
      <c r="BE43">
        <v>80</v>
      </c>
      <c r="BF43">
        <v>35</v>
      </c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</row>
    <row r="44" spans="8:108" x14ac:dyDescent="0.2">
      <c r="H44" s="64">
        <v>42</v>
      </c>
      <c r="I44">
        <v>140</v>
      </c>
      <c r="J44">
        <v>25</v>
      </c>
      <c r="K44">
        <v>20</v>
      </c>
      <c r="L44">
        <v>100</v>
      </c>
      <c r="M44">
        <v>42</v>
      </c>
      <c r="N44">
        <v>42</v>
      </c>
      <c r="O44">
        <v>42</v>
      </c>
      <c r="P44">
        <v>80</v>
      </c>
      <c r="Q44">
        <v>35</v>
      </c>
      <c r="R44">
        <v>70</v>
      </c>
      <c r="S44">
        <v>100</v>
      </c>
      <c r="T44">
        <v>140</v>
      </c>
      <c r="U44">
        <v>42</v>
      </c>
      <c r="V44">
        <v>42</v>
      </c>
      <c r="W44">
        <v>20</v>
      </c>
      <c r="X44">
        <v>80</v>
      </c>
      <c r="Y44">
        <v>35</v>
      </c>
      <c r="Z44">
        <v>140</v>
      </c>
      <c r="AA44">
        <v>35</v>
      </c>
      <c r="AB44">
        <v>20</v>
      </c>
      <c r="AC44">
        <v>42</v>
      </c>
      <c r="AD44">
        <v>200</v>
      </c>
      <c r="AE44">
        <v>42</v>
      </c>
      <c r="AF44">
        <v>35</v>
      </c>
      <c r="AG44">
        <v>24</v>
      </c>
      <c r="AH44">
        <v>42</v>
      </c>
      <c r="AI44">
        <v>30</v>
      </c>
      <c r="AJ44">
        <v>80</v>
      </c>
      <c r="AK44">
        <v>120</v>
      </c>
      <c r="AL44">
        <v>168</v>
      </c>
      <c r="AM44">
        <v>20</v>
      </c>
      <c r="AN44">
        <v>24</v>
      </c>
      <c r="AO44">
        <v>35</v>
      </c>
      <c r="AP44">
        <v>100</v>
      </c>
      <c r="AQ44">
        <v>100</v>
      </c>
      <c r="AR44">
        <v>24</v>
      </c>
      <c r="AS44">
        <v>35</v>
      </c>
      <c r="AT44">
        <v>35</v>
      </c>
      <c r="AU44">
        <v>25</v>
      </c>
      <c r="AV44">
        <v>100</v>
      </c>
      <c r="AW44">
        <v>100</v>
      </c>
      <c r="AX44">
        <v>24</v>
      </c>
      <c r="AY44">
        <v>24</v>
      </c>
      <c r="AZ44">
        <v>20</v>
      </c>
      <c r="BA44">
        <v>25</v>
      </c>
      <c r="BB44">
        <v>24</v>
      </c>
      <c r="BC44">
        <v>24</v>
      </c>
      <c r="BD44">
        <v>35</v>
      </c>
      <c r="BE44">
        <v>20</v>
      </c>
      <c r="BF44">
        <v>100</v>
      </c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</row>
    <row r="45" spans="8:108" x14ac:dyDescent="0.2">
      <c r="H45" s="64">
        <v>43</v>
      </c>
      <c r="I45">
        <v>84</v>
      </c>
      <c r="J45">
        <v>80</v>
      </c>
      <c r="K45">
        <v>25</v>
      </c>
      <c r="L45">
        <v>25</v>
      </c>
      <c r="M45">
        <v>168</v>
      </c>
      <c r="N45">
        <v>100</v>
      </c>
      <c r="O45">
        <v>35</v>
      </c>
      <c r="P45">
        <v>35</v>
      </c>
      <c r="Q45">
        <v>35</v>
      </c>
      <c r="R45">
        <v>42</v>
      </c>
      <c r="S45">
        <v>100</v>
      </c>
      <c r="T45">
        <v>20</v>
      </c>
      <c r="U45">
        <v>35</v>
      </c>
      <c r="V45">
        <v>35</v>
      </c>
      <c r="W45">
        <v>35</v>
      </c>
      <c r="X45">
        <v>35</v>
      </c>
      <c r="Y45">
        <v>24</v>
      </c>
      <c r="Z45">
        <v>70</v>
      </c>
      <c r="AA45">
        <v>25</v>
      </c>
      <c r="AB45">
        <v>100</v>
      </c>
      <c r="AC45">
        <v>35</v>
      </c>
      <c r="AD45">
        <v>100</v>
      </c>
      <c r="AE45">
        <v>120</v>
      </c>
      <c r="AF45">
        <v>140</v>
      </c>
      <c r="AG45">
        <v>120</v>
      </c>
      <c r="AH45">
        <v>200</v>
      </c>
      <c r="AI45">
        <v>80</v>
      </c>
      <c r="AJ45">
        <v>25</v>
      </c>
      <c r="AK45">
        <v>35</v>
      </c>
      <c r="AL45">
        <v>35</v>
      </c>
      <c r="AM45">
        <v>42</v>
      </c>
      <c r="AN45">
        <v>80</v>
      </c>
      <c r="AO45">
        <v>24</v>
      </c>
      <c r="AP45">
        <v>120</v>
      </c>
      <c r="AQ45">
        <v>20</v>
      </c>
      <c r="AR45">
        <v>20</v>
      </c>
      <c r="AS45">
        <v>168</v>
      </c>
      <c r="AT45">
        <v>120</v>
      </c>
      <c r="AU45">
        <v>80</v>
      </c>
      <c r="AV45">
        <v>100</v>
      </c>
      <c r="AW45">
        <v>100</v>
      </c>
      <c r="AX45">
        <v>140</v>
      </c>
      <c r="AY45">
        <v>140</v>
      </c>
      <c r="AZ45">
        <v>120</v>
      </c>
      <c r="BA45">
        <v>42</v>
      </c>
      <c r="BB45">
        <v>35</v>
      </c>
      <c r="BC45">
        <v>35</v>
      </c>
      <c r="BD45">
        <v>42</v>
      </c>
      <c r="BE45">
        <v>120</v>
      </c>
      <c r="BF45">
        <v>96</v>
      </c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</row>
    <row r="46" spans="8:108" x14ac:dyDescent="0.2">
      <c r="H46" s="64">
        <v>44</v>
      </c>
      <c r="I46">
        <v>20</v>
      </c>
      <c r="J46">
        <v>24</v>
      </c>
      <c r="K46">
        <v>24</v>
      </c>
      <c r="L46">
        <v>42</v>
      </c>
      <c r="M46">
        <v>35</v>
      </c>
      <c r="N46">
        <v>30</v>
      </c>
      <c r="O46">
        <v>168</v>
      </c>
      <c r="P46">
        <v>20</v>
      </c>
      <c r="Q46">
        <v>200</v>
      </c>
      <c r="R46">
        <v>120</v>
      </c>
      <c r="S46">
        <v>20</v>
      </c>
      <c r="T46">
        <v>50</v>
      </c>
      <c r="U46">
        <v>120</v>
      </c>
      <c r="V46">
        <v>42</v>
      </c>
      <c r="W46">
        <v>140</v>
      </c>
      <c r="X46">
        <v>168</v>
      </c>
      <c r="Y46">
        <v>35</v>
      </c>
      <c r="Z46">
        <v>100</v>
      </c>
      <c r="AA46">
        <v>168</v>
      </c>
      <c r="AB46">
        <v>42</v>
      </c>
      <c r="AC46">
        <v>70</v>
      </c>
      <c r="AD46">
        <v>30</v>
      </c>
      <c r="AE46">
        <v>35</v>
      </c>
      <c r="AF46">
        <v>120</v>
      </c>
      <c r="AG46">
        <v>70</v>
      </c>
      <c r="AH46">
        <v>35</v>
      </c>
      <c r="AI46">
        <v>100</v>
      </c>
      <c r="AJ46">
        <v>168</v>
      </c>
      <c r="AK46">
        <v>42</v>
      </c>
      <c r="AL46">
        <v>42</v>
      </c>
      <c r="AM46">
        <v>120</v>
      </c>
      <c r="AN46">
        <v>120</v>
      </c>
      <c r="AO46">
        <v>80</v>
      </c>
      <c r="AP46">
        <v>24</v>
      </c>
      <c r="AQ46">
        <v>168</v>
      </c>
      <c r="AR46">
        <v>35</v>
      </c>
      <c r="AS46">
        <v>168</v>
      </c>
      <c r="AT46">
        <v>120</v>
      </c>
      <c r="AU46">
        <v>24</v>
      </c>
      <c r="AV46">
        <v>140</v>
      </c>
      <c r="AW46">
        <v>35</v>
      </c>
      <c r="AX46">
        <v>240</v>
      </c>
      <c r="AY46">
        <v>140</v>
      </c>
      <c r="AZ46">
        <v>35</v>
      </c>
      <c r="BA46">
        <v>96</v>
      </c>
      <c r="BB46">
        <v>120</v>
      </c>
      <c r="BC46">
        <v>100</v>
      </c>
      <c r="BD46">
        <v>120</v>
      </c>
      <c r="BE46">
        <v>100</v>
      </c>
      <c r="BF46">
        <v>24</v>
      </c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</row>
    <row r="47" spans="8:108" x14ac:dyDescent="0.2">
      <c r="H47" s="64">
        <v>45</v>
      </c>
      <c r="I47">
        <v>30</v>
      </c>
      <c r="J47">
        <v>42</v>
      </c>
      <c r="K47">
        <v>35</v>
      </c>
      <c r="L47">
        <v>42</v>
      </c>
      <c r="M47">
        <v>20</v>
      </c>
      <c r="N47">
        <v>20</v>
      </c>
      <c r="O47">
        <v>70</v>
      </c>
      <c r="P47">
        <v>20</v>
      </c>
      <c r="Q47">
        <v>35</v>
      </c>
      <c r="R47">
        <v>42</v>
      </c>
      <c r="S47">
        <v>35</v>
      </c>
      <c r="T47">
        <v>35</v>
      </c>
      <c r="U47">
        <v>42</v>
      </c>
      <c r="V47">
        <v>30</v>
      </c>
      <c r="W47">
        <v>120</v>
      </c>
      <c r="X47">
        <v>25</v>
      </c>
      <c r="Y47">
        <v>42</v>
      </c>
      <c r="Z47">
        <v>120</v>
      </c>
      <c r="AA47">
        <v>168</v>
      </c>
      <c r="AB47">
        <v>140</v>
      </c>
      <c r="AC47">
        <v>100</v>
      </c>
      <c r="AD47">
        <v>24</v>
      </c>
      <c r="AE47">
        <v>168</v>
      </c>
      <c r="AF47">
        <v>35</v>
      </c>
      <c r="AG47">
        <v>20</v>
      </c>
      <c r="AH47">
        <v>84</v>
      </c>
      <c r="AI47">
        <v>24</v>
      </c>
      <c r="AJ47">
        <v>35</v>
      </c>
      <c r="AK47">
        <v>25</v>
      </c>
      <c r="AL47">
        <v>35</v>
      </c>
      <c r="AM47">
        <v>42</v>
      </c>
      <c r="AN47">
        <v>80</v>
      </c>
      <c r="AO47">
        <v>35</v>
      </c>
      <c r="AP47">
        <v>140</v>
      </c>
      <c r="AQ47">
        <v>20</v>
      </c>
      <c r="AR47">
        <v>20</v>
      </c>
      <c r="AS47">
        <v>42</v>
      </c>
      <c r="AT47">
        <v>42</v>
      </c>
      <c r="AU47">
        <v>25</v>
      </c>
      <c r="AV47">
        <v>20</v>
      </c>
      <c r="AW47">
        <v>120</v>
      </c>
      <c r="AX47">
        <v>100</v>
      </c>
      <c r="AY47">
        <v>120</v>
      </c>
      <c r="AZ47">
        <v>20</v>
      </c>
      <c r="BA47">
        <v>42</v>
      </c>
      <c r="BB47">
        <v>20</v>
      </c>
      <c r="BC47">
        <v>42</v>
      </c>
      <c r="BD47">
        <v>120</v>
      </c>
      <c r="BE47">
        <v>35</v>
      </c>
      <c r="BF47">
        <v>25</v>
      </c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</row>
    <row r="48" spans="8:108" x14ac:dyDescent="0.2">
      <c r="H48" s="64">
        <v>46</v>
      </c>
      <c r="I48">
        <v>60</v>
      </c>
      <c r="J48">
        <v>35</v>
      </c>
      <c r="K48">
        <v>42</v>
      </c>
      <c r="L48">
        <v>80</v>
      </c>
      <c r="M48">
        <v>42</v>
      </c>
      <c r="N48">
        <v>70</v>
      </c>
      <c r="O48">
        <v>35</v>
      </c>
      <c r="P48">
        <v>24</v>
      </c>
      <c r="Q48">
        <v>30</v>
      </c>
      <c r="R48">
        <v>84</v>
      </c>
      <c r="S48">
        <v>42</v>
      </c>
      <c r="T48">
        <v>200</v>
      </c>
      <c r="U48">
        <v>20</v>
      </c>
      <c r="V48">
        <v>84</v>
      </c>
      <c r="W48">
        <v>140</v>
      </c>
      <c r="X48">
        <v>42</v>
      </c>
      <c r="Y48">
        <v>25</v>
      </c>
      <c r="Z48">
        <v>100</v>
      </c>
      <c r="AA48">
        <v>25</v>
      </c>
      <c r="AB48">
        <v>30</v>
      </c>
      <c r="AC48">
        <v>100</v>
      </c>
      <c r="AD48">
        <v>20</v>
      </c>
      <c r="AE48">
        <v>100</v>
      </c>
      <c r="AF48">
        <v>70</v>
      </c>
      <c r="AG48">
        <v>120</v>
      </c>
      <c r="AH48">
        <v>20</v>
      </c>
      <c r="AI48">
        <v>20</v>
      </c>
      <c r="AJ48">
        <v>24</v>
      </c>
      <c r="AK48">
        <v>35</v>
      </c>
      <c r="AL48">
        <v>42</v>
      </c>
      <c r="AM48">
        <v>70</v>
      </c>
      <c r="AN48">
        <v>42</v>
      </c>
      <c r="AO48">
        <v>100</v>
      </c>
      <c r="AP48">
        <v>120</v>
      </c>
      <c r="AQ48">
        <v>20</v>
      </c>
      <c r="AR48">
        <v>35</v>
      </c>
      <c r="AS48">
        <v>25</v>
      </c>
      <c r="AT48">
        <v>24</v>
      </c>
      <c r="AU48">
        <v>24</v>
      </c>
      <c r="AV48">
        <v>100</v>
      </c>
      <c r="AW48">
        <v>35</v>
      </c>
      <c r="AX48">
        <v>42</v>
      </c>
      <c r="AY48">
        <v>35</v>
      </c>
      <c r="AZ48">
        <v>168</v>
      </c>
      <c r="BA48">
        <v>20</v>
      </c>
      <c r="BB48">
        <v>42</v>
      </c>
      <c r="BC48">
        <v>35</v>
      </c>
      <c r="BD48">
        <v>42</v>
      </c>
      <c r="BE48">
        <v>35</v>
      </c>
      <c r="BF48">
        <v>120</v>
      </c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</row>
    <row r="49" spans="8:108" x14ac:dyDescent="0.2">
      <c r="H49" s="64">
        <v>47</v>
      </c>
      <c r="I49">
        <v>120</v>
      </c>
      <c r="J49">
        <v>30</v>
      </c>
      <c r="K49">
        <v>42</v>
      </c>
      <c r="L49">
        <v>20</v>
      </c>
      <c r="M49">
        <v>35</v>
      </c>
      <c r="N49">
        <v>42</v>
      </c>
      <c r="O49">
        <v>42</v>
      </c>
      <c r="P49">
        <v>100</v>
      </c>
      <c r="Q49">
        <v>42</v>
      </c>
      <c r="R49">
        <v>35</v>
      </c>
      <c r="S49">
        <v>100</v>
      </c>
      <c r="T49">
        <v>42</v>
      </c>
      <c r="U49">
        <v>80</v>
      </c>
      <c r="V49">
        <v>35</v>
      </c>
      <c r="W49">
        <v>35</v>
      </c>
      <c r="X49">
        <v>20</v>
      </c>
      <c r="Y49">
        <v>35</v>
      </c>
      <c r="Z49">
        <v>20</v>
      </c>
      <c r="AA49">
        <v>200</v>
      </c>
      <c r="AB49">
        <v>140</v>
      </c>
      <c r="AC49">
        <v>20</v>
      </c>
      <c r="AD49">
        <v>42</v>
      </c>
      <c r="AE49">
        <v>42</v>
      </c>
      <c r="AF49">
        <v>24</v>
      </c>
      <c r="AG49">
        <v>20</v>
      </c>
      <c r="AH49">
        <v>100</v>
      </c>
      <c r="AI49">
        <v>140</v>
      </c>
      <c r="AJ49">
        <v>20</v>
      </c>
      <c r="AK49">
        <v>84</v>
      </c>
      <c r="AL49">
        <v>100</v>
      </c>
      <c r="AM49">
        <v>80</v>
      </c>
      <c r="AN49">
        <v>20</v>
      </c>
      <c r="AO49">
        <v>35</v>
      </c>
      <c r="AP49">
        <v>100</v>
      </c>
      <c r="AQ49">
        <v>168</v>
      </c>
      <c r="AR49">
        <v>100</v>
      </c>
      <c r="AS49">
        <v>100</v>
      </c>
      <c r="AT49">
        <v>35</v>
      </c>
      <c r="AU49">
        <v>80</v>
      </c>
      <c r="AV49">
        <v>100</v>
      </c>
      <c r="AW49">
        <v>120</v>
      </c>
      <c r="AX49">
        <v>100</v>
      </c>
      <c r="AY49">
        <v>96</v>
      </c>
      <c r="AZ49">
        <v>240</v>
      </c>
      <c r="BA49">
        <v>120</v>
      </c>
      <c r="BB49">
        <v>42</v>
      </c>
      <c r="BC49">
        <v>25</v>
      </c>
      <c r="BD49">
        <v>20</v>
      </c>
      <c r="BE49">
        <v>20</v>
      </c>
      <c r="BF49">
        <v>35</v>
      </c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</row>
    <row r="50" spans="8:108" x14ac:dyDescent="0.2">
      <c r="H50" s="64">
        <v>48</v>
      </c>
      <c r="I50">
        <v>20</v>
      </c>
      <c r="J50">
        <v>70</v>
      </c>
      <c r="K50">
        <v>20</v>
      </c>
      <c r="L50">
        <v>96</v>
      </c>
      <c r="M50">
        <v>140</v>
      </c>
      <c r="N50">
        <v>96</v>
      </c>
      <c r="O50">
        <v>42</v>
      </c>
      <c r="P50">
        <v>24</v>
      </c>
      <c r="Q50">
        <v>35</v>
      </c>
      <c r="R50">
        <v>42</v>
      </c>
      <c r="S50">
        <v>35</v>
      </c>
      <c r="T50">
        <v>80</v>
      </c>
      <c r="U50">
        <v>35</v>
      </c>
      <c r="V50">
        <v>35</v>
      </c>
      <c r="W50">
        <v>35</v>
      </c>
      <c r="X50">
        <v>120</v>
      </c>
      <c r="Y50">
        <v>24</v>
      </c>
      <c r="Z50">
        <v>42</v>
      </c>
      <c r="AA50">
        <v>42</v>
      </c>
      <c r="AB50">
        <v>35</v>
      </c>
      <c r="AC50">
        <v>100</v>
      </c>
      <c r="AD50">
        <v>42</v>
      </c>
      <c r="AE50">
        <v>35</v>
      </c>
      <c r="AF50">
        <v>100</v>
      </c>
      <c r="AG50">
        <v>240</v>
      </c>
      <c r="AH50">
        <v>100</v>
      </c>
      <c r="AI50">
        <v>96</v>
      </c>
      <c r="AJ50">
        <v>100</v>
      </c>
      <c r="AK50">
        <v>120</v>
      </c>
      <c r="AL50">
        <v>120</v>
      </c>
      <c r="AM50">
        <v>80</v>
      </c>
      <c r="AN50">
        <v>120</v>
      </c>
      <c r="AO50">
        <v>140</v>
      </c>
      <c r="AP50">
        <v>30</v>
      </c>
      <c r="AQ50">
        <v>35</v>
      </c>
      <c r="AR50">
        <v>35</v>
      </c>
      <c r="AS50">
        <v>42</v>
      </c>
      <c r="AT50">
        <v>35</v>
      </c>
      <c r="AU50">
        <v>20</v>
      </c>
      <c r="AV50">
        <v>200</v>
      </c>
      <c r="AW50">
        <v>168</v>
      </c>
      <c r="AX50">
        <v>35</v>
      </c>
      <c r="AY50">
        <v>100</v>
      </c>
      <c r="AZ50">
        <v>100</v>
      </c>
      <c r="BA50">
        <v>42</v>
      </c>
      <c r="BB50">
        <v>24</v>
      </c>
      <c r="BC50">
        <v>25</v>
      </c>
      <c r="BD50">
        <v>80</v>
      </c>
      <c r="BE50">
        <v>25</v>
      </c>
      <c r="BF50">
        <v>42</v>
      </c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</row>
    <row r="51" spans="8:108" x14ac:dyDescent="0.2">
      <c r="H51" s="64">
        <v>49</v>
      </c>
      <c r="I51">
        <v>42</v>
      </c>
      <c r="J51">
        <v>168</v>
      </c>
      <c r="K51">
        <v>42</v>
      </c>
      <c r="L51">
        <v>120</v>
      </c>
      <c r="M51">
        <v>96</v>
      </c>
      <c r="N51">
        <v>35</v>
      </c>
      <c r="O51">
        <v>42</v>
      </c>
      <c r="P51">
        <v>42</v>
      </c>
      <c r="Q51">
        <v>120</v>
      </c>
      <c r="R51">
        <v>96</v>
      </c>
      <c r="S51">
        <v>20</v>
      </c>
      <c r="T51">
        <v>35</v>
      </c>
      <c r="U51">
        <v>35</v>
      </c>
      <c r="V51">
        <v>100</v>
      </c>
      <c r="W51">
        <v>96</v>
      </c>
      <c r="X51">
        <v>42</v>
      </c>
      <c r="Y51">
        <v>140</v>
      </c>
      <c r="Z51">
        <v>42</v>
      </c>
      <c r="AA51">
        <v>25</v>
      </c>
      <c r="AB51">
        <v>100</v>
      </c>
      <c r="AC51">
        <v>42</v>
      </c>
      <c r="AD51">
        <v>100</v>
      </c>
      <c r="AE51">
        <v>42</v>
      </c>
      <c r="AF51">
        <v>100</v>
      </c>
      <c r="AG51">
        <v>20</v>
      </c>
      <c r="AH51">
        <v>100</v>
      </c>
      <c r="AI51">
        <v>35</v>
      </c>
      <c r="AJ51">
        <v>240</v>
      </c>
      <c r="AK51">
        <v>30</v>
      </c>
      <c r="AL51">
        <v>24</v>
      </c>
      <c r="AM51">
        <v>24</v>
      </c>
      <c r="AN51">
        <v>100</v>
      </c>
      <c r="AO51">
        <v>42</v>
      </c>
      <c r="AP51">
        <v>24</v>
      </c>
      <c r="AQ51">
        <v>200</v>
      </c>
      <c r="AR51">
        <v>24</v>
      </c>
      <c r="AS51">
        <v>42</v>
      </c>
      <c r="AT51">
        <v>35</v>
      </c>
      <c r="AU51">
        <v>96</v>
      </c>
      <c r="AV51">
        <v>140</v>
      </c>
      <c r="AW51">
        <v>42</v>
      </c>
      <c r="AX51">
        <v>35</v>
      </c>
      <c r="AY51">
        <v>96</v>
      </c>
      <c r="AZ51">
        <v>20</v>
      </c>
      <c r="BA51">
        <v>42</v>
      </c>
      <c r="BB51">
        <v>100</v>
      </c>
      <c r="BC51">
        <v>42</v>
      </c>
      <c r="BD51">
        <v>42</v>
      </c>
      <c r="BE51">
        <v>168</v>
      </c>
      <c r="BF51">
        <v>42</v>
      </c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</row>
    <row r="52" spans="8:108" x14ac:dyDescent="0.2">
      <c r="H52" s="64">
        <v>50</v>
      </c>
      <c r="I52">
        <v>20</v>
      </c>
      <c r="J52">
        <v>42</v>
      </c>
      <c r="K52">
        <v>24</v>
      </c>
      <c r="L52">
        <v>100</v>
      </c>
      <c r="M52">
        <v>35</v>
      </c>
      <c r="N52">
        <v>24</v>
      </c>
      <c r="O52">
        <v>35</v>
      </c>
      <c r="P52">
        <v>120</v>
      </c>
      <c r="Q52">
        <v>35</v>
      </c>
      <c r="R52">
        <v>140</v>
      </c>
      <c r="S52">
        <v>100</v>
      </c>
      <c r="T52">
        <v>120</v>
      </c>
      <c r="U52">
        <v>168</v>
      </c>
      <c r="V52">
        <v>80</v>
      </c>
      <c r="W52">
        <v>30</v>
      </c>
      <c r="X52">
        <v>25</v>
      </c>
      <c r="Y52">
        <v>140</v>
      </c>
      <c r="Z52">
        <v>42</v>
      </c>
      <c r="AA52">
        <v>100</v>
      </c>
      <c r="AB52">
        <v>80</v>
      </c>
      <c r="AC52">
        <v>35</v>
      </c>
      <c r="AD52">
        <v>168</v>
      </c>
      <c r="AE52">
        <v>140</v>
      </c>
      <c r="AF52">
        <v>80</v>
      </c>
      <c r="AG52">
        <v>35</v>
      </c>
      <c r="AH52">
        <v>140</v>
      </c>
      <c r="AI52">
        <v>30</v>
      </c>
      <c r="AJ52">
        <v>70</v>
      </c>
      <c r="AK52">
        <v>168</v>
      </c>
      <c r="AL52">
        <v>35</v>
      </c>
      <c r="AM52">
        <v>42</v>
      </c>
      <c r="AN52">
        <v>35</v>
      </c>
      <c r="AO52">
        <v>96</v>
      </c>
      <c r="AP52">
        <v>35</v>
      </c>
      <c r="AQ52">
        <v>25</v>
      </c>
      <c r="AR52">
        <v>96</v>
      </c>
      <c r="AS52">
        <v>80</v>
      </c>
      <c r="AT52">
        <v>120</v>
      </c>
      <c r="AU52">
        <v>70</v>
      </c>
      <c r="AV52">
        <v>20</v>
      </c>
      <c r="AW52">
        <v>200</v>
      </c>
      <c r="AX52">
        <v>20</v>
      </c>
      <c r="AY52">
        <v>20</v>
      </c>
      <c r="AZ52">
        <v>24</v>
      </c>
      <c r="BA52">
        <v>25</v>
      </c>
      <c r="BB52">
        <v>60</v>
      </c>
      <c r="BC52">
        <v>96</v>
      </c>
      <c r="BD52">
        <v>80</v>
      </c>
      <c r="BE52">
        <v>35</v>
      </c>
      <c r="BF52">
        <v>24</v>
      </c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</row>
    <row r="53" spans="8:108" x14ac:dyDescent="0.2">
      <c r="H53" s="64">
        <v>51</v>
      </c>
      <c r="I53">
        <v>30</v>
      </c>
      <c r="J53">
        <v>100</v>
      </c>
      <c r="K53">
        <v>25</v>
      </c>
      <c r="L53">
        <v>120</v>
      </c>
      <c r="M53">
        <v>24</v>
      </c>
      <c r="N53">
        <v>96</v>
      </c>
      <c r="O53">
        <v>70</v>
      </c>
      <c r="P53">
        <v>42</v>
      </c>
      <c r="Q53">
        <v>42</v>
      </c>
      <c r="R53">
        <v>35</v>
      </c>
      <c r="S53">
        <v>20</v>
      </c>
      <c r="T53">
        <v>96</v>
      </c>
      <c r="U53">
        <v>24</v>
      </c>
      <c r="V53">
        <v>168</v>
      </c>
      <c r="W53">
        <v>240</v>
      </c>
      <c r="X53">
        <v>100</v>
      </c>
      <c r="Y53">
        <v>100</v>
      </c>
      <c r="Z53">
        <v>35</v>
      </c>
      <c r="AA53">
        <v>42</v>
      </c>
      <c r="AB53">
        <v>20</v>
      </c>
      <c r="AC53">
        <v>96</v>
      </c>
      <c r="AD53">
        <v>140</v>
      </c>
      <c r="AE53">
        <v>120</v>
      </c>
      <c r="AF53">
        <v>25</v>
      </c>
      <c r="AG53">
        <v>120</v>
      </c>
      <c r="AH53">
        <v>96</v>
      </c>
      <c r="AI53">
        <v>35</v>
      </c>
      <c r="AJ53">
        <v>42</v>
      </c>
      <c r="AK53">
        <v>42</v>
      </c>
      <c r="AL53">
        <v>30</v>
      </c>
      <c r="AM53">
        <v>100</v>
      </c>
      <c r="AN53">
        <v>30</v>
      </c>
      <c r="AO53">
        <v>120</v>
      </c>
      <c r="AP53">
        <v>120</v>
      </c>
      <c r="AQ53">
        <v>42</v>
      </c>
      <c r="AR53">
        <v>30</v>
      </c>
      <c r="AS53">
        <v>35</v>
      </c>
      <c r="AT53">
        <v>200</v>
      </c>
      <c r="AU53">
        <v>100</v>
      </c>
      <c r="AV53">
        <v>25</v>
      </c>
      <c r="AW53">
        <v>84</v>
      </c>
      <c r="AX53">
        <v>42</v>
      </c>
      <c r="AY53">
        <v>35</v>
      </c>
      <c r="AZ53">
        <v>42</v>
      </c>
      <c r="BA53">
        <v>35</v>
      </c>
      <c r="BB53">
        <v>42</v>
      </c>
      <c r="BC53">
        <v>100</v>
      </c>
      <c r="BD53">
        <v>20</v>
      </c>
      <c r="BE53">
        <v>120</v>
      </c>
      <c r="BF53">
        <v>42</v>
      </c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</row>
    <row r="54" spans="8:108" x14ac:dyDescent="0.2">
      <c r="H54" s="64">
        <v>52</v>
      </c>
      <c r="I54">
        <v>24</v>
      </c>
      <c r="J54">
        <v>25</v>
      </c>
      <c r="K54">
        <v>20</v>
      </c>
      <c r="L54">
        <v>42</v>
      </c>
      <c r="M54">
        <v>25</v>
      </c>
      <c r="N54">
        <v>30</v>
      </c>
      <c r="O54">
        <v>100</v>
      </c>
      <c r="P54">
        <v>80</v>
      </c>
      <c r="Q54">
        <v>120</v>
      </c>
      <c r="R54">
        <v>200</v>
      </c>
      <c r="S54">
        <v>24</v>
      </c>
      <c r="T54">
        <v>80</v>
      </c>
      <c r="U54">
        <v>20</v>
      </c>
      <c r="V54">
        <v>42</v>
      </c>
      <c r="W54">
        <v>35</v>
      </c>
      <c r="X54">
        <v>20</v>
      </c>
      <c r="Y54">
        <v>84</v>
      </c>
      <c r="Z54">
        <v>120</v>
      </c>
      <c r="AA54">
        <v>25</v>
      </c>
      <c r="AB54">
        <v>42</v>
      </c>
      <c r="AC54">
        <v>35</v>
      </c>
      <c r="AD54">
        <v>20</v>
      </c>
      <c r="AE54">
        <v>42</v>
      </c>
      <c r="AF54">
        <v>25</v>
      </c>
      <c r="AG54">
        <v>100</v>
      </c>
      <c r="AH54">
        <v>120</v>
      </c>
      <c r="AI54">
        <v>120</v>
      </c>
      <c r="AJ54">
        <v>35</v>
      </c>
      <c r="AK54">
        <v>35</v>
      </c>
      <c r="AL54">
        <v>35</v>
      </c>
      <c r="AM54">
        <v>100</v>
      </c>
      <c r="AN54">
        <v>42</v>
      </c>
      <c r="AO54">
        <v>84</v>
      </c>
      <c r="AP54">
        <v>25</v>
      </c>
      <c r="AQ54">
        <v>20</v>
      </c>
      <c r="AR54">
        <v>30</v>
      </c>
      <c r="AS54">
        <v>42</v>
      </c>
      <c r="AT54">
        <v>24</v>
      </c>
      <c r="AU54">
        <v>168</v>
      </c>
      <c r="AV54">
        <v>100</v>
      </c>
      <c r="AW54">
        <v>42</v>
      </c>
      <c r="AX54">
        <v>24</v>
      </c>
      <c r="AY54">
        <v>35</v>
      </c>
      <c r="AZ54">
        <v>42</v>
      </c>
      <c r="BA54">
        <v>168</v>
      </c>
      <c r="BB54">
        <v>35</v>
      </c>
      <c r="BC54">
        <v>80</v>
      </c>
      <c r="BD54">
        <v>50</v>
      </c>
      <c r="BE54">
        <v>80</v>
      </c>
      <c r="BF54">
        <v>96</v>
      </c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</row>
    <row r="55" spans="8:108" x14ac:dyDescent="0.2">
      <c r="H55" s="64">
        <v>53</v>
      </c>
      <c r="I55">
        <v>120</v>
      </c>
      <c r="J55">
        <v>100</v>
      </c>
      <c r="K55">
        <v>24</v>
      </c>
      <c r="L55">
        <v>25</v>
      </c>
      <c r="M55">
        <v>24</v>
      </c>
      <c r="N55">
        <v>42</v>
      </c>
      <c r="O55">
        <v>100</v>
      </c>
      <c r="P55">
        <v>30</v>
      </c>
      <c r="Q55">
        <v>140</v>
      </c>
      <c r="R55">
        <v>35</v>
      </c>
      <c r="S55">
        <v>24</v>
      </c>
      <c r="T55">
        <v>120</v>
      </c>
      <c r="U55">
        <v>120</v>
      </c>
      <c r="V55">
        <v>25</v>
      </c>
      <c r="W55">
        <v>25</v>
      </c>
      <c r="X55">
        <v>24</v>
      </c>
      <c r="Y55">
        <v>20</v>
      </c>
      <c r="Z55">
        <v>25</v>
      </c>
      <c r="AA55">
        <v>30</v>
      </c>
      <c r="AB55">
        <v>35</v>
      </c>
      <c r="AC55">
        <v>20</v>
      </c>
      <c r="AD55">
        <v>100</v>
      </c>
      <c r="AE55">
        <v>42</v>
      </c>
      <c r="AF55">
        <v>24</v>
      </c>
      <c r="AG55">
        <v>20</v>
      </c>
      <c r="AH55">
        <v>42</v>
      </c>
      <c r="AI55">
        <v>96</v>
      </c>
      <c r="AJ55">
        <v>200</v>
      </c>
      <c r="AK55">
        <v>70</v>
      </c>
      <c r="AL55">
        <v>35</v>
      </c>
      <c r="AM55">
        <v>35</v>
      </c>
      <c r="AN55">
        <v>100</v>
      </c>
      <c r="AO55">
        <v>60</v>
      </c>
      <c r="AP55">
        <v>20</v>
      </c>
      <c r="AQ55">
        <v>20</v>
      </c>
      <c r="AR55">
        <v>35</v>
      </c>
      <c r="AS55">
        <v>42</v>
      </c>
      <c r="AT55">
        <v>24</v>
      </c>
      <c r="AU55">
        <v>35</v>
      </c>
      <c r="AV55">
        <v>35</v>
      </c>
      <c r="AW55">
        <v>100</v>
      </c>
      <c r="AX55">
        <v>35</v>
      </c>
      <c r="AY55">
        <v>35</v>
      </c>
      <c r="AZ55">
        <v>20</v>
      </c>
      <c r="BA55">
        <v>24</v>
      </c>
      <c r="BB55">
        <v>20</v>
      </c>
      <c r="BC55">
        <v>24</v>
      </c>
      <c r="BD55">
        <v>25</v>
      </c>
      <c r="BE55">
        <v>100</v>
      </c>
      <c r="BF55">
        <v>100</v>
      </c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</row>
    <row r="56" spans="8:108" x14ac:dyDescent="0.2">
      <c r="H56" s="64">
        <v>54</v>
      </c>
      <c r="I56">
        <v>168</v>
      </c>
      <c r="J56">
        <v>168</v>
      </c>
      <c r="K56">
        <v>100</v>
      </c>
      <c r="L56">
        <v>24</v>
      </c>
      <c r="M56">
        <v>100</v>
      </c>
      <c r="N56">
        <v>20</v>
      </c>
      <c r="O56">
        <v>96</v>
      </c>
      <c r="P56">
        <v>96</v>
      </c>
      <c r="Q56">
        <v>200</v>
      </c>
      <c r="R56">
        <v>96</v>
      </c>
      <c r="S56">
        <v>42</v>
      </c>
      <c r="T56">
        <v>42</v>
      </c>
      <c r="U56">
        <v>20</v>
      </c>
      <c r="V56">
        <v>100</v>
      </c>
      <c r="W56">
        <v>80</v>
      </c>
      <c r="X56">
        <v>84</v>
      </c>
      <c r="Y56">
        <v>168</v>
      </c>
      <c r="Z56">
        <v>96</v>
      </c>
      <c r="AA56">
        <v>35</v>
      </c>
      <c r="AB56">
        <v>120</v>
      </c>
      <c r="AC56">
        <v>20</v>
      </c>
      <c r="AD56">
        <v>35</v>
      </c>
      <c r="AE56">
        <v>20</v>
      </c>
      <c r="AF56">
        <v>25</v>
      </c>
      <c r="AG56">
        <v>70</v>
      </c>
      <c r="AH56">
        <v>96</v>
      </c>
      <c r="AI56">
        <v>25</v>
      </c>
      <c r="AJ56">
        <v>30</v>
      </c>
      <c r="AK56">
        <v>35</v>
      </c>
      <c r="AL56">
        <v>120</v>
      </c>
      <c r="AM56">
        <v>42</v>
      </c>
      <c r="AN56">
        <v>25</v>
      </c>
      <c r="AO56">
        <v>120</v>
      </c>
      <c r="AP56">
        <v>100</v>
      </c>
      <c r="AQ56">
        <v>25</v>
      </c>
      <c r="AR56">
        <v>20</v>
      </c>
      <c r="AS56">
        <v>25</v>
      </c>
      <c r="AT56">
        <v>20</v>
      </c>
      <c r="AU56">
        <v>100</v>
      </c>
      <c r="AV56">
        <v>100</v>
      </c>
      <c r="AW56">
        <v>24</v>
      </c>
      <c r="AX56">
        <v>20</v>
      </c>
      <c r="AY56">
        <v>35</v>
      </c>
      <c r="AZ56">
        <v>20</v>
      </c>
      <c r="BA56">
        <v>35</v>
      </c>
      <c r="BB56">
        <v>100</v>
      </c>
      <c r="BC56">
        <v>24</v>
      </c>
      <c r="BD56">
        <v>84</v>
      </c>
      <c r="BE56">
        <v>35</v>
      </c>
      <c r="BF56">
        <v>30</v>
      </c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</row>
    <row r="57" spans="8:108" x14ac:dyDescent="0.2">
      <c r="H57" s="64">
        <v>55</v>
      </c>
      <c r="I57">
        <v>35</v>
      </c>
      <c r="J57">
        <v>120</v>
      </c>
      <c r="K57">
        <v>25</v>
      </c>
      <c r="L57">
        <v>35</v>
      </c>
      <c r="M57">
        <v>20</v>
      </c>
      <c r="N57">
        <v>24</v>
      </c>
      <c r="O57">
        <v>42</v>
      </c>
      <c r="P57">
        <v>168</v>
      </c>
      <c r="Q57">
        <v>100</v>
      </c>
      <c r="R57">
        <v>35</v>
      </c>
      <c r="S57">
        <v>120</v>
      </c>
      <c r="T57">
        <v>20</v>
      </c>
      <c r="U57">
        <v>35</v>
      </c>
      <c r="V57">
        <v>100</v>
      </c>
      <c r="W57">
        <v>25</v>
      </c>
      <c r="X57">
        <v>70</v>
      </c>
      <c r="Y57">
        <v>30</v>
      </c>
      <c r="Z57">
        <v>70</v>
      </c>
      <c r="AA57">
        <v>168</v>
      </c>
      <c r="AB57">
        <v>50</v>
      </c>
      <c r="AC57">
        <v>120</v>
      </c>
      <c r="AD57">
        <v>20</v>
      </c>
      <c r="AE57">
        <v>35</v>
      </c>
      <c r="AF57">
        <v>35</v>
      </c>
      <c r="AG57">
        <v>120</v>
      </c>
      <c r="AH57">
        <v>20</v>
      </c>
      <c r="AI57">
        <v>20</v>
      </c>
      <c r="AJ57">
        <v>35</v>
      </c>
      <c r="AK57">
        <v>20</v>
      </c>
      <c r="AL57">
        <v>20</v>
      </c>
      <c r="AM57">
        <v>100</v>
      </c>
      <c r="AN57">
        <v>24</v>
      </c>
      <c r="AO57">
        <v>35</v>
      </c>
      <c r="AP57">
        <v>70</v>
      </c>
      <c r="AQ57">
        <v>35</v>
      </c>
      <c r="AR57">
        <v>42</v>
      </c>
      <c r="AS57">
        <v>35</v>
      </c>
      <c r="AT57">
        <v>96</v>
      </c>
      <c r="AU57">
        <v>35</v>
      </c>
      <c r="AV57">
        <v>240</v>
      </c>
      <c r="AW57">
        <v>24</v>
      </c>
      <c r="AX57">
        <v>140</v>
      </c>
      <c r="AY57">
        <v>120</v>
      </c>
      <c r="AZ57">
        <v>42</v>
      </c>
      <c r="BA57">
        <v>24</v>
      </c>
      <c r="BB57">
        <v>20</v>
      </c>
      <c r="BC57">
        <v>100</v>
      </c>
      <c r="BD57">
        <v>168</v>
      </c>
      <c r="BE57">
        <v>100</v>
      </c>
      <c r="BF57">
        <v>100</v>
      </c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6"/>
      <c r="DC57" s="26"/>
      <c r="DD57" s="26"/>
    </row>
    <row r="58" spans="8:108" x14ac:dyDescent="0.2">
      <c r="H58" s="64">
        <v>56</v>
      </c>
      <c r="I58">
        <v>100</v>
      </c>
      <c r="J58">
        <v>20</v>
      </c>
      <c r="K58">
        <v>96</v>
      </c>
      <c r="L58">
        <v>30</v>
      </c>
      <c r="M58">
        <v>80</v>
      </c>
      <c r="N58">
        <v>24</v>
      </c>
      <c r="O58">
        <v>240</v>
      </c>
      <c r="P58">
        <v>35</v>
      </c>
      <c r="Q58">
        <v>25</v>
      </c>
      <c r="R58">
        <v>35</v>
      </c>
      <c r="S58">
        <v>35</v>
      </c>
      <c r="T58">
        <v>42</v>
      </c>
      <c r="U58">
        <v>35</v>
      </c>
      <c r="V58">
        <v>140</v>
      </c>
      <c r="W58">
        <v>168</v>
      </c>
      <c r="X58">
        <v>35</v>
      </c>
      <c r="Y58">
        <v>84</v>
      </c>
      <c r="Z58">
        <v>20</v>
      </c>
      <c r="AA58">
        <v>24</v>
      </c>
      <c r="AB58">
        <v>70</v>
      </c>
      <c r="AC58">
        <v>84</v>
      </c>
      <c r="AD58">
        <v>24</v>
      </c>
      <c r="AE58">
        <v>35</v>
      </c>
      <c r="AF58">
        <v>168</v>
      </c>
      <c r="AG58">
        <v>168</v>
      </c>
      <c r="AH58">
        <v>35</v>
      </c>
      <c r="AI58">
        <v>50</v>
      </c>
      <c r="AJ58">
        <v>140</v>
      </c>
      <c r="AK58">
        <v>70</v>
      </c>
      <c r="AL58">
        <v>35</v>
      </c>
      <c r="AM58">
        <v>140</v>
      </c>
      <c r="AN58">
        <v>84</v>
      </c>
      <c r="AO58">
        <v>80</v>
      </c>
      <c r="AP58">
        <v>42</v>
      </c>
      <c r="AQ58">
        <v>120</v>
      </c>
      <c r="AR58">
        <v>200</v>
      </c>
      <c r="AS58">
        <v>25</v>
      </c>
      <c r="AT58">
        <v>30</v>
      </c>
      <c r="AU58">
        <v>100</v>
      </c>
      <c r="AV58">
        <v>140</v>
      </c>
      <c r="AW58">
        <v>42</v>
      </c>
      <c r="AX58">
        <v>20</v>
      </c>
      <c r="AY58">
        <v>100</v>
      </c>
      <c r="AZ58">
        <v>80</v>
      </c>
      <c r="BA58">
        <v>20</v>
      </c>
      <c r="BB58">
        <v>35</v>
      </c>
      <c r="BC58">
        <v>120</v>
      </c>
      <c r="BD58">
        <v>25</v>
      </c>
      <c r="BE58">
        <v>35</v>
      </c>
      <c r="BF58">
        <v>168</v>
      </c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</row>
    <row r="59" spans="8:108" x14ac:dyDescent="0.2">
      <c r="H59" s="64">
        <v>57</v>
      </c>
      <c r="I59">
        <v>42</v>
      </c>
      <c r="J59">
        <v>168</v>
      </c>
      <c r="K59">
        <v>20</v>
      </c>
      <c r="L59">
        <v>42</v>
      </c>
      <c r="M59">
        <v>35</v>
      </c>
      <c r="N59">
        <v>35</v>
      </c>
      <c r="O59">
        <v>70</v>
      </c>
      <c r="P59">
        <v>120</v>
      </c>
      <c r="Q59">
        <v>24</v>
      </c>
      <c r="R59">
        <v>100</v>
      </c>
      <c r="S59">
        <v>70</v>
      </c>
      <c r="T59">
        <v>168</v>
      </c>
      <c r="U59">
        <v>20</v>
      </c>
      <c r="V59">
        <v>20</v>
      </c>
      <c r="W59">
        <v>120</v>
      </c>
      <c r="X59">
        <v>24</v>
      </c>
      <c r="Y59">
        <v>25</v>
      </c>
      <c r="Z59">
        <v>42</v>
      </c>
      <c r="AA59">
        <v>96</v>
      </c>
      <c r="AB59">
        <v>20</v>
      </c>
      <c r="AC59">
        <v>20</v>
      </c>
      <c r="AD59">
        <v>70</v>
      </c>
      <c r="AE59">
        <v>20</v>
      </c>
      <c r="AF59">
        <v>80</v>
      </c>
      <c r="AG59">
        <v>42</v>
      </c>
      <c r="AH59">
        <v>20</v>
      </c>
      <c r="AI59">
        <v>42</v>
      </c>
      <c r="AJ59">
        <v>120</v>
      </c>
      <c r="AK59">
        <v>80</v>
      </c>
      <c r="AL59">
        <v>35</v>
      </c>
      <c r="AM59">
        <v>80</v>
      </c>
      <c r="AN59">
        <v>35</v>
      </c>
      <c r="AO59">
        <v>70</v>
      </c>
      <c r="AP59">
        <v>30</v>
      </c>
      <c r="AQ59">
        <v>100</v>
      </c>
      <c r="AR59">
        <v>42</v>
      </c>
      <c r="AS59">
        <v>25</v>
      </c>
      <c r="AT59">
        <v>35</v>
      </c>
      <c r="AU59">
        <v>96</v>
      </c>
      <c r="AV59">
        <v>140</v>
      </c>
      <c r="AW59">
        <v>42</v>
      </c>
      <c r="AX59">
        <v>35</v>
      </c>
      <c r="AY59">
        <v>20</v>
      </c>
      <c r="AZ59">
        <v>100</v>
      </c>
      <c r="BA59">
        <v>80</v>
      </c>
      <c r="BB59">
        <v>35</v>
      </c>
      <c r="BC59">
        <v>35</v>
      </c>
      <c r="BD59">
        <v>35</v>
      </c>
      <c r="BE59">
        <v>42</v>
      </c>
      <c r="BF59">
        <v>30</v>
      </c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6"/>
      <c r="DC59" s="26"/>
      <c r="DD59" s="26"/>
    </row>
    <row r="60" spans="8:108" x14ac:dyDescent="0.2">
      <c r="H60" s="64">
        <v>58</v>
      </c>
      <c r="I60">
        <v>20</v>
      </c>
      <c r="J60">
        <v>70</v>
      </c>
      <c r="K60">
        <v>168</v>
      </c>
      <c r="L60">
        <v>120</v>
      </c>
      <c r="M60">
        <v>140</v>
      </c>
      <c r="N60">
        <v>35</v>
      </c>
      <c r="O60">
        <v>80</v>
      </c>
      <c r="P60">
        <v>80</v>
      </c>
      <c r="Q60">
        <v>30</v>
      </c>
      <c r="R60">
        <v>20</v>
      </c>
      <c r="S60">
        <v>35</v>
      </c>
      <c r="T60">
        <v>35</v>
      </c>
      <c r="U60">
        <v>35</v>
      </c>
      <c r="V60">
        <v>200</v>
      </c>
      <c r="W60">
        <v>35</v>
      </c>
      <c r="X60">
        <v>168</v>
      </c>
      <c r="Y60">
        <v>25</v>
      </c>
      <c r="Z60">
        <v>70</v>
      </c>
      <c r="AA60">
        <v>35</v>
      </c>
      <c r="AB60">
        <v>25</v>
      </c>
      <c r="AC60">
        <v>42</v>
      </c>
      <c r="AD60">
        <v>50</v>
      </c>
      <c r="AE60">
        <v>42</v>
      </c>
      <c r="AF60">
        <v>24</v>
      </c>
      <c r="AG60">
        <v>96</v>
      </c>
      <c r="AH60">
        <v>42</v>
      </c>
      <c r="AI60">
        <v>35</v>
      </c>
      <c r="AJ60">
        <v>168</v>
      </c>
      <c r="AK60">
        <v>100</v>
      </c>
      <c r="AL60">
        <v>140</v>
      </c>
      <c r="AM60">
        <v>168</v>
      </c>
      <c r="AN60">
        <v>120</v>
      </c>
      <c r="AO60">
        <v>30</v>
      </c>
      <c r="AP60">
        <v>25</v>
      </c>
      <c r="AQ60">
        <v>24</v>
      </c>
      <c r="AR60">
        <v>35</v>
      </c>
      <c r="AS60">
        <v>20</v>
      </c>
      <c r="AT60">
        <v>70</v>
      </c>
      <c r="AU60">
        <v>25</v>
      </c>
      <c r="AV60">
        <v>42</v>
      </c>
      <c r="AW60">
        <v>42</v>
      </c>
      <c r="AX60">
        <v>42</v>
      </c>
      <c r="AY60">
        <v>240</v>
      </c>
      <c r="AZ60">
        <v>140</v>
      </c>
      <c r="BA60">
        <v>42</v>
      </c>
      <c r="BB60">
        <v>35</v>
      </c>
      <c r="BC60">
        <v>42</v>
      </c>
      <c r="BD60">
        <v>35</v>
      </c>
      <c r="BE60">
        <v>70</v>
      </c>
      <c r="BF60">
        <v>100</v>
      </c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</row>
    <row r="61" spans="8:108" x14ac:dyDescent="0.2">
      <c r="H61" s="64">
        <v>59</v>
      </c>
      <c r="I61">
        <v>120</v>
      </c>
      <c r="J61">
        <v>24</v>
      </c>
      <c r="K61">
        <v>42</v>
      </c>
      <c r="L61">
        <v>20</v>
      </c>
      <c r="M61">
        <v>84</v>
      </c>
      <c r="N61">
        <v>25</v>
      </c>
      <c r="O61">
        <v>20</v>
      </c>
      <c r="P61">
        <v>70</v>
      </c>
      <c r="Q61">
        <v>84</v>
      </c>
      <c r="R61">
        <v>200</v>
      </c>
      <c r="S61">
        <v>20</v>
      </c>
      <c r="T61">
        <v>35</v>
      </c>
      <c r="U61">
        <v>35</v>
      </c>
      <c r="V61">
        <v>42</v>
      </c>
      <c r="W61">
        <v>100</v>
      </c>
      <c r="X61">
        <v>30</v>
      </c>
      <c r="Y61">
        <v>80</v>
      </c>
      <c r="Z61">
        <v>35</v>
      </c>
      <c r="AA61">
        <v>100</v>
      </c>
      <c r="AB61">
        <v>42</v>
      </c>
      <c r="AC61">
        <v>70</v>
      </c>
      <c r="AD61">
        <v>120</v>
      </c>
      <c r="AE61">
        <v>42</v>
      </c>
      <c r="AF61">
        <v>100</v>
      </c>
      <c r="AG61">
        <v>20</v>
      </c>
      <c r="AH61">
        <v>140</v>
      </c>
      <c r="AI61">
        <v>35</v>
      </c>
      <c r="AJ61">
        <v>120</v>
      </c>
      <c r="AK61">
        <v>42</v>
      </c>
      <c r="AL61">
        <v>100</v>
      </c>
      <c r="AM61">
        <v>35</v>
      </c>
      <c r="AN61">
        <v>120</v>
      </c>
      <c r="AO61">
        <v>240</v>
      </c>
      <c r="AP61">
        <v>100</v>
      </c>
      <c r="AQ61">
        <v>35</v>
      </c>
      <c r="AR61">
        <v>30</v>
      </c>
      <c r="AS61">
        <v>42</v>
      </c>
      <c r="AT61">
        <v>25</v>
      </c>
      <c r="AU61">
        <v>24</v>
      </c>
      <c r="AV61">
        <v>20</v>
      </c>
      <c r="AW61">
        <v>42</v>
      </c>
      <c r="AX61">
        <v>25</v>
      </c>
      <c r="AY61">
        <v>240</v>
      </c>
      <c r="AZ61">
        <v>25</v>
      </c>
      <c r="BA61">
        <v>20</v>
      </c>
      <c r="BB61">
        <v>120</v>
      </c>
      <c r="BC61">
        <v>120</v>
      </c>
      <c r="BD61">
        <v>24</v>
      </c>
      <c r="BE61">
        <v>20</v>
      </c>
      <c r="BF61">
        <v>35</v>
      </c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  <c r="DA61" s="26"/>
      <c r="DB61" s="26"/>
      <c r="DC61" s="26"/>
      <c r="DD61" s="26"/>
    </row>
    <row r="62" spans="8:108" x14ac:dyDescent="0.2">
      <c r="H62" s="64">
        <v>60</v>
      </c>
      <c r="I62">
        <v>30</v>
      </c>
      <c r="J62">
        <v>100</v>
      </c>
      <c r="K62">
        <v>20</v>
      </c>
      <c r="L62">
        <v>42</v>
      </c>
      <c r="M62">
        <v>168</v>
      </c>
      <c r="N62">
        <v>100</v>
      </c>
      <c r="O62">
        <v>42</v>
      </c>
      <c r="P62">
        <v>42</v>
      </c>
      <c r="Q62">
        <v>20</v>
      </c>
      <c r="R62">
        <v>96</v>
      </c>
      <c r="S62">
        <v>20</v>
      </c>
      <c r="T62">
        <v>120</v>
      </c>
      <c r="U62">
        <v>20</v>
      </c>
      <c r="V62">
        <v>42</v>
      </c>
      <c r="W62">
        <v>20</v>
      </c>
      <c r="X62">
        <v>100</v>
      </c>
      <c r="Y62">
        <v>24</v>
      </c>
      <c r="Z62">
        <v>24</v>
      </c>
      <c r="AA62">
        <v>35</v>
      </c>
      <c r="AB62">
        <v>100</v>
      </c>
      <c r="AC62">
        <v>100</v>
      </c>
      <c r="AD62">
        <v>80</v>
      </c>
      <c r="AE62">
        <v>25</v>
      </c>
      <c r="AF62">
        <v>35</v>
      </c>
      <c r="AG62">
        <v>80</v>
      </c>
      <c r="AH62">
        <v>35</v>
      </c>
      <c r="AI62">
        <v>20</v>
      </c>
      <c r="AJ62">
        <v>120</v>
      </c>
      <c r="AK62">
        <v>70</v>
      </c>
      <c r="AL62">
        <v>35</v>
      </c>
      <c r="AM62">
        <v>20</v>
      </c>
      <c r="AN62">
        <v>120</v>
      </c>
      <c r="AO62">
        <v>20</v>
      </c>
      <c r="AP62">
        <v>100</v>
      </c>
      <c r="AQ62">
        <v>42</v>
      </c>
      <c r="AR62">
        <v>42</v>
      </c>
      <c r="AS62">
        <v>35</v>
      </c>
      <c r="AT62">
        <v>100</v>
      </c>
      <c r="AU62">
        <v>30</v>
      </c>
      <c r="AV62">
        <v>24</v>
      </c>
      <c r="AW62">
        <v>20</v>
      </c>
      <c r="AX62">
        <v>35</v>
      </c>
      <c r="AY62">
        <v>168</v>
      </c>
      <c r="AZ62">
        <v>120</v>
      </c>
      <c r="BA62">
        <v>100</v>
      </c>
      <c r="BB62">
        <v>20</v>
      </c>
      <c r="BC62">
        <v>80</v>
      </c>
      <c r="BD62">
        <v>96</v>
      </c>
      <c r="BE62">
        <v>24</v>
      </c>
      <c r="BF62">
        <v>168</v>
      </c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</row>
    <row r="63" spans="8:108" x14ac:dyDescent="0.2">
      <c r="H63" s="64">
        <v>61</v>
      </c>
      <c r="I63">
        <v>80</v>
      </c>
      <c r="J63">
        <v>24</v>
      </c>
      <c r="K63">
        <v>35</v>
      </c>
      <c r="L63">
        <v>42</v>
      </c>
      <c r="M63">
        <v>140</v>
      </c>
      <c r="N63">
        <v>35</v>
      </c>
      <c r="O63">
        <v>168</v>
      </c>
      <c r="P63">
        <v>84</v>
      </c>
      <c r="Q63">
        <v>35</v>
      </c>
      <c r="R63">
        <v>20</v>
      </c>
      <c r="S63">
        <v>35</v>
      </c>
      <c r="T63">
        <v>84</v>
      </c>
      <c r="U63">
        <v>35</v>
      </c>
      <c r="V63">
        <v>35</v>
      </c>
      <c r="W63">
        <v>35</v>
      </c>
      <c r="X63">
        <v>140</v>
      </c>
      <c r="Y63">
        <v>100</v>
      </c>
      <c r="Z63">
        <v>20</v>
      </c>
      <c r="AA63">
        <v>240</v>
      </c>
      <c r="AB63">
        <v>42</v>
      </c>
      <c r="AC63">
        <v>35</v>
      </c>
      <c r="AD63">
        <v>35</v>
      </c>
      <c r="AE63">
        <v>100</v>
      </c>
      <c r="AF63">
        <v>30</v>
      </c>
      <c r="AG63">
        <v>35</v>
      </c>
      <c r="AH63">
        <v>100</v>
      </c>
      <c r="AI63">
        <v>25</v>
      </c>
      <c r="AJ63">
        <v>25</v>
      </c>
      <c r="AK63">
        <v>100</v>
      </c>
      <c r="AL63">
        <v>100</v>
      </c>
      <c r="AM63">
        <v>100</v>
      </c>
      <c r="AN63">
        <v>42</v>
      </c>
      <c r="AO63">
        <v>70</v>
      </c>
      <c r="AP63">
        <v>120</v>
      </c>
      <c r="AQ63">
        <v>30</v>
      </c>
      <c r="AR63">
        <v>80</v>
      </c>
      <c r="AS63">
        <v>24</v>
      </c>
      <c r="AT63">
        <v>35</v>
      </c>
      <c r="AU63">
        <v>24</v>
      </c>
      <c r="AV63">
        <v>35</v>
      </c>
      <c r="AW63">
        <v>20</v>
      </c>
      <c r="AX63">
        <v>70</v>
      </c>
      <c r="AY63">
        <v>42</v>
      </c>
      <c r="AZ63">
        <v>24</v>
      </c>
      <c r="BA63">
        <v>100</v>
      </c>
      <c r="BB63">
        <v>120</v>
      </c>
      <c r="BC63">
        <v>42</v>
      </c>
      <c r="BD63">
        <v>168</v>
      </c>
      <c r="BE63">
        <v>35</v>
      </c>
      <c r="BF63">
        <v>84</v>
      </c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</row>
    <row r="64" spans="8:108" x14ac:dyDescent="0.2">
      <c r="H64" s="64">
        <v>62</v>
      </c>
      <c r="I64">
        <v>80</v>
      </c>
      <c r="J64">
        <v>25</v>
      </c>
      <c r="K64">
        <v>25</v>
      </c>
      <c r="L64">
        <v>35</v>
      </c>
      <c r="M64">
        <v>35</v>
      </c>
      <c r="N64">
        <v>200</v>
      </c>
      <c r="O64">
        <v>42</v>
      </c>
      <c r="P64">
        <v>100</v>
      </c>
      <c r="Q64">
        <v>20</v>
      </c>
      <c r="R64">
        <v>84</v>
      </c>
      <c r="S64">
        <v>96</v>
      </c>
      <c r="T64">
        <v>240</v>
      </c>
      <c r="U64">
        <v>35</v>
      </c>
      <c r="V64">
        <v>20</v>
      </c>
      <c r="W64">
        <v>20</v>
      </c>
      <c r="X64">
        <v>120</v>
      </c>
      <c r="Y64">
        <v>120</v>
      </c>
      <c r="Z64">
        <v>80</v>
      </c>
      <c r="AA64">
        <v>100</v>
      </c>
      <c r="AB64">
        <v>24</v>
      </c>
      <c r="AC64">
        <v>120</v>
      </c>
      <c r="AD64">
        <v>42</v>
      </c>
      <c r="AE64">
        <v>25</v>
      </c>
      <c r="AF64">
        <v>35</v>
      </c>
      <c r="AG64">
        <v>20</v>
      </c>
      <c r="AH64">
        <v>35</v>
      </c>
      <c r="AI64">
        <v>84</v>
      </c>
      <c r="AJ64">
        <v>25</v>
      </c>
      <c r="AK64">
        <v>120</v>
      </c>
      <c r="AL64">
        <v>168</v>
      </c>
      <c r="AM64">
        <v>70</v>
      </c>
      <c r="AN64">
        <v>42</v>
      </c>
      <c r="AO64">
        <v>25</v>
      </c>
      <c r="AP64">
        <v>168</v>
      </c>
      <c r="AQ64">
        <v>80</v>
      </c>
      <c r="AR64">
        <v>120</v>
      </c>
      <c r="AS64">
        <v>35</v>
      </c>
      <c r="AT64">
        <v>35</v>
      </c>
      <c r="AU64">
        <v>140</v>
      </c>
      <c r="AV64">
        <v>42</v>
      </c>
      <c r="AW64">
        <v>42</v>
      </c>
      <c r="AX64">
        <v>100</v>
      </c>
      <c r="AY64">
        <v>25</v>
      </c>
      <c r="AZ64">
        <v>120</v>
      </c>
      <c r="BA64">
        <v>80</v>
      </c>
      <c r="BB64">
        <v>240</v>
      </c>
      <c r="BC64">
        <v>100</v>
      </c>
      <c r="BD64">
        <v>60</v>
      </c>
      <c r="BE64">
        <v>35</v>
      </c>
      <c r="BF64">
        <v>24</v>
      </c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</row>
    <row r="65" spans="8:108" x14ac:dyDescent="0.2">
      <c r="H65" s="64">
        <v>63</v>
      </c>
      <c r="I65">
        <v>35</v>
      </c>
      <c r="J65">
        <v>24</v>
      </c>
      <c r="K65">
        <v>42</v>
      </c>
      <c r="L65">
        <v>70</v>
      </c>
      <c r="M65">
        <v>35</v>
      </c>
      <c r="N65">
        <v>35</v>
      </c>
      <c r="O65">
        <v>35</v>
      </c>
      <c r="P65">
        <v>35</v>
      </c>
      <c r="Q65">
        <v>240</v>
      </c>
      <c r="R65">
        <v>96</v>
      </c>
      <c r="S65">
        <v>20</v>
      </c>
      <c r="T65">
        <v>42</v>
      </c>
      <c r="U65">
        <v>70</v>
      </c>
      <c r="V65">
        <v>25</v>
      </c>
      <c r="W65">
        <v>35</v>
      </c>
      <c r="X65">
        <v>100</v>
      </c>
      <c r="Y65">
        <v>120</v>
      </c>
      <c r="Z65">
        <v>24</v>
      </c>
      <c r="AA65">
        <v>120</v>
      </c>
      <c r="AB65">
        <v>240</v>
      </c>
      <c r="AC65">
        <v>42</v>
      </c>
      <c r="AD65">
        <v>24</v>
      </c>
      <c r="AE65">
        <v>42</v>
      </c>
      <c r="AF65">
        <v>100</v>
      </c>
      <c r="AG65">
        <v>42</v>
      </c>
      <c r="AH65">
        <v>140</v>
      </c>
      <c r="AI65">
        <v>20</v>
      </c>
      <c r="AJ65">
        <v>35</v>
      </c>
      <c r="AK65">
        <v>84</v>
      </c>
      <c r="AL65">
        <v>140</v>
      </c>
      <c r="AM65">
        <v>96</v>
      </c>
      <c r="AN65">
        <v>100</v>
      </c>
      <c r="AO65">
        <v>20</v>
      </c>
      <c r="AP65">
        <v>20</v>
      </c>
      <c r="AQ65">
        <v>42</v>
      </c>
      <c r="AR65">
        <v>35</v>
      </c>
      <c r="AS65">
        <v>96</v>
      </c>
      <c r="AT65">
        <v>42</v>
      </c>
      <c r="AU65">
        <v>120</v>
      </c>
      <c r="AV65">
        <v>25</v>
      </c>
      <c r="AW65">
        <v>35</v>
      </c>
      <c r="AX65">
        <v>80</v>
      </c>
      <c r="AY65">
        <v>42</v>
      </c>
      <c r="AZ65">
        <v>42</v>
      </c>
      <c r="BA65">
        <v>35</v>
      </c>
      <c r="BB65">
        <v>42</v>
      </c>
      <c r="BC65">
        <v>80</v>
      </c>
      <c r="BD65">
        <v>42</v>
      </c>
      <c r="BE65">
        <v>80</v>
      </c>
      <c r="BF65">
        <v>100</v>
      </c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</row>
    <row r="66" spans="8:108" x14ac:dyDescent="0.2">
      <c r="H66" s="64">
        <v>64</v>
      </c>
      <c r="I66">
        <v>120</v>
      </c>
      <c r="J66">
        <v>20</v>
      </c>
      <c r="K66">
        <v>168</v>
      </c>
      <c r="L66">
        <v>35</v>
      </c>
      <c r="M66">
        <v>100</v>
      </c>
      <c r="N66">
        <v>120</v>
      </c>
      <c r="O66">
        <v>42</v>
      </c>
      <c r="P66">
        <v>35</v>
      </c>
      <c r="Q66">
        <v>120</v>
      </c>
      <c r="R66">
        <v>35</v>
      </c>
      <c r="S66">
        <v>80</v>
      </c>
      <c r="T66">
        <v>35</v>
      </c>
      <c r="U66">
        <v>35</v>
      </c>
      <c r="V66">
        <v>25</v>
      </c>
      <c r="W66">
        <v>120</v>
      </c>
      <c r="X66">
        <v>20</v>
      </c>
      <c r="Y66">
        <v>24</v>
      </c>
      <c r="Z66">
        <v>140</v>
      </c>
      <c r="AA66">
        <v>25</v>
      </c>
      <c r="AB66">
        <v>25</v>
      </c>
      <c r="AC66">
        <v>96</v>
      </c>
      <c r="AD66">
        <v>25</v>
      </c>
      <c r="AE66">
        <v>100</v>
      </c>
      <c r="AF66">
        <v>42</v>
      </c>
      <c r="AG66">
        <v>42</v>
      </c>
      <c r="AH66">
        <v>120</v>
      </c>
      <c r="AI66">
        <v>100</v>
      </c>
      <c r="AJ66">
        <v>25</v>
      </c>
      <c r="AK66">
        <v>96</v>
      </c>
      <c r="AL66">
        <v>20</v>
      </c>
      <c r="AM66">
        <v>200</v>
      </c>
      <c r="AN66">
        <v>70</v>
      </c>
      <c r="AO66">
        <v>200</v>
      </c>
      <c r="AP66">
        <v>35</v>
      </c>
      <c r="AQ66">
        <v>35</v>
      </c>
      <c r="AR66">
        <v>80</v>
      </c>
      <c r="AS66">
        <v>96</v>
      </c>
      <c r="AT66">
        <v>35</v>
      </c>
      <c r="AU66">
        <v>25</v>
      </c>
      <c r="AV66">
        <v>100</v>
      </c>
      <c r="AW66">
        <v>24</v>
      </c>
      <c r="AX66">
        <v>80</v>
      </c>
      <c r="AY66">
        <v>24</v>
      </c>
      <c r="AZ66">
        <v>35</v>
      </c>
      <c r="BA66">
        <v>35</v>
      </c>
      <c r="BB66">
        <v>42</v>
      </c>
      <c r="BC66">
        <v>42</v>
      </c>
      <c r="BD66">
        <v>96</v>
      </c>
      <c r="BE66">
        <v>168</v>
      </c>
      <c r="BF66">
        <v>70</v>
      </c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</row>
    <row r="67" spans="8:108" x14ac:dyDescent="0.2">
      <c r="H67" s="64">
        <v>65</v>
      </c>
      <c r="I67">
        <v>25</v>
      </c>
      <c r="J67">
        <v>80</v>
      </c>
      <c r="K67">
        <v>35</v>
      </c>
      <c r="L67">
        <v>42</v>
      </c>
      <c r="M67">
        <v>140</v>
      </c>
      <c r="N67">
        <v>100</v>
      </c>
      <c r="O67">
        <v>20</v>
      </c>
      <c r="P67">
        <v>120</v>
      </c>
      <c r="Q67">
        <v>35</v>
      </c>
      <c r="R67">
        <v>168</v>
      </c>
      <c r="S67">
        <v>42</v>
      </c>
      <c r="T67">
        <v>70</v>
      </c>
      <c r="U67">
        <v>24</v>
      </c>
      <c r="V67">
        <v>84</v>
      </c>
      <c r="W67">
        <v>42</v>
      </c>
      <c r="X67">
        <v>100</v>
      </c>
      <c r="Y67">
        <v>240</v>
      </c>
      <c r="Z67">
        <v>140</v>
      </c>
      <c r="AA67">
        <v>25</v>
      </c>
      <c r="AB67">
        <v>30</v>
      </c>
      <c r="AC67">
        <v>35</v>
      </c>
      <c r="AD67">
        <v>30</v>
      </c>
      <c r="AE67">
        <v>25</v>
      </c>
      <c r="AF67">
        <v>42</v>
      </c>
      <c r="AG67">
        <v>20</v>
      </c>
      <c r="AH67">
        <v>20</v>
      </c>
      <c r="AI67">
        <v>140</v>
      </c>
      <c r="AJ67">
        <v>20</v>
      </c>
      <c r="AK67">
        <v>168</v>
      </c>
      <c r="AL67">
        <v>140</v>
      </c>
      <c r="AM67">
        <v>96</v>
      </c>
      <c r="AN67">
        <v>80</v>
      </c>
      <c r="AO67">
        <v>42</v>
      </c>
      <c r="AP67">
        <v>120</v>
      </c>
      <c r="AQ67">
        <v>100</v>
      </c>
      <c r="AR67">
        <v>96</v>
      </c>
      <c r="AS67">
        <v>42</v>
      </c>
      <c r="AT67">
        <v>140</v>
      </c>
      <c r="AU67">
        <v>240</v>
      </c>
      <c r="AV67">
        <v>35</v>
      </c>
      <c r="AW67">
        <v>100</v>
      </c>
      <c r="AX67">
        <v>25</v>
      </c>
      <c r="AY67">
        <v>96</v>
      </c>
      <c r="AZ67">
        <v>35</v>
      </c>
      <c r="BA67">
        <v>120</v>
      </c>
      <c r="BB67">
        <v>35</v>
      </c>
      <c r="BC67">
        <v>140</v>
      </c>
      <c r="BD67">
        <v>200</v>
      </c>
      <c r="BE67">
        <v>35</v>
      </c>
      <c r="BF67">
        <v>30</v>
      </c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</row>
    <row r="68" spans="8:108" x14ac:dyDescent="0.2">
      <c r="H68" s="64">
        <v>66</v>
      </c>
      <c r="I68">
        <v>168</v>
      </c>
      <c r="J68">
        <v>20</v>
      </c>
      <c r="K68">
        <v>84</v>
      </c>
      <c r="L68">
        <v>20</v>
      </c>
      <c r="M68">
        <v>100</v>
      </c>
      <c r="N68">
        <v>20</v>
      </c>
      <c r="O68">
        <v>35</v>
      </c>
      <c r="P68">
        <v>25</v>
      </c>
      <c r="Q68">
        <v>42</v>
      </c>
      <c r="R68">
        <v>84</v>
      </c>
      <c r="S68">
        <v>96</v>
      </c>
      <c r="T68">
        <v>100</v>
      </c>
      <c r="U68">
        <v>30</v>
      </c>
      <c r="V68">
        <v>35</v>
      </c>
      <c r="W68">
        <v>35</v>
      </c>
      <c r="X68">
        <v>30</v>
      </c>
      <c r="Y68">
        <v>70</v>
      </c>
      <c r="Z68">
        <v>84</v>
      </c>
      <c r="AA68">
        <v>96</v>
      </c>
      <c r="AB68">
        <v>35</v>
      </c>
      <c r="AC68">
        <v>25</v>
      </c>
      <c r="AD68">
        <v>70</v>
      </c>
      <c r="AE68">
        <v>35</v>
      </c>
      <c r="AF68">
        <v>25</v>
      </c>
      <c r="AG68">
        <v>100</v>
      </c>
      <c r="AH68">
        <v>20</v>
      </c>
      <c r="AI68">
        <v>168</v>
      </c>
      <c r="AJ68">
        <v>24</v>
      </c>
      <c r="AK68">
        <v>140</v>
      </c>
      <c r="AL68">
        <v>96</v>
      </c>
      <c r="AM68">
        <v>35</v>
      </c>
      <c r="AN68">
        <v>100</v>
      </c>
      <c r="AO68">
        <v>96</v>
      </c>
      <c r="AP68">
        <v>42</v>
      </c>
      <c r="AQ68">
        <v>100</v>
      </c>
      <c r="AR68">
        <v>120</v>
      </c>
      <c r="AS68">
        <v>80</v>
      </c>
      <c r="AT68">
        <v>120</v>
      </c>
      <c r="AU68">
        <v>24</v>
      </c>
      <c r="AV68">
        <v>42</v>
      </c>
      <c r="AW68">
        <v>200</v>
      </c>
      <c r="AX68">
        <v>100</v>
      </c>
      <c r="AY68">
        <v>120</v>
      </c>
      <c r="AZ68">
        <v>25</v>
      </c>
      <c r="BA68">
        <v>20</v>
      </c>
      <c r="BB68">
        <v>100</v>
      </c>
      <c r="BC68">
        <v>35</v>
      </c>
      <c r="BD68">
        <v>60</v>
      </c>
      <c r="BE68">
        <v>35</v>
      </c>
      <c r="BF68">
        <v>42</v>
      </c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</row>
    <row r="69" spans="8:108" x14ac:dyDescent="0.2">
      <c r="H69" s="64">
        <v>67</v>
      </c>
      <c r="I69">
        <v>24</v>
      </c>
      <c r="J69">
        <v>20</v>
      </c>
      <c r="K69">
        <v>35</v>
      </c>
      <c r="L69">
        <v>20</v>
      </c>
      <c r="M69">
        <v>84</v>
      </c>
      <c r="N69">
        <v>35</v>
      </c>
      <c r="O69">
        <v>20</v>
      </c>
      <c r="P69">
        <v>100</v>
      </c>
      <c r="Q69">
        <v>140</v>
      </c>
      <c r="R69">
        <v>96</v>
      </c>
      <c r="S69">
        <v>70</v>
      </c>
      <c r="T69">
        <v>30</v>
      </c>
      <c r="U69">
        <v>120</v>
      </c>
      <c r="V69">
        <v>100</v>
      </c>
      <c r="W69">
        <v>35</v>
      </c>
      <c r="X69">
        <v>200</v>
      </c>
      <c r="Y69">
        <v>35</v>
      </c>
      <c r="Z69">
        <v>100</v>
      </c>
      <c r="AA69">
        <v>25</v>
      </c>
      <c r="AB69">
        <v>42</v>
      </c>
      <c r="AC69">
        <v>84</v>
      </c>
      <c r="AD69">
        <v>35</v>
      </c>
      <c r="AE69">
        <v>140</v>
      </c>
      <c r="AF69">
        <v>35</v>
      </c>
      <c r="AG69">
        <v>168</v>
      </c>
      <c r="AH69">
        <v>20</v>
      </c>
      <c r="AI69">
        <v>42</v>
      </c>
      <c r="AJ69">
        <v>140</v>
      </c>
      <c r="AK69">
        <v>35</v>
      </c>
      <c r="AL69">
        <v>120</v>
      </c>
      <c r="AM69">
        <v>25</v>
      </c>
      <c r="AN69">
        <v>35</v>
      </c>
      <c r="AO69">
        <v>168</v>
      </c>
      <c r="AP69">
        <v>25</v>
      </c>
      <c r="AQ69">
        <v>100</v>
      </c>
      <c r="AR69">
        <v>100</v>
      </c>
      <c r="AS69">
        <v>20</v>
      </c>
      <c r="AT69">
        <v>20</v>
      </c>
      <c r="AU69">
        <v>42</v>
      </c>
      <c r="AV69">
        <v>25</v>
      </c>
      <c r="AW69">
        <v>100</v>
      </c>
      <c r="AX69">
        <v>80</v>
      </c>
      <c r="AY69">
        <v>84</v>
      </c>
      <c r="AZ69">
        <v>24</v>
      </c>
      <c r="BA69">
        <v>24</v>
      </c>
      <c r="BB69">
        <v>96</v>
      </c>
      <c r="BC69">
        <v>35</v>
      </c>
      <c r="BD69">
        <v>42</v>
      </c>
      <c r="BE69">
        <v>84</v>
      </c>
      <c r="BF69">
        <v>120</v>
      </c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</row>
    <row r="70" spans="8:108" x14ac:dyDescent="0.2">
      <c r="H70" s="64">
        <v>68</v>
      </c>
      <c r="I70">
        <v>24</v>
      </c>
      <c r="J70">
        <v>20</v>
      </c>
      <c r="K70">
        <v>42</v>
      </c>
      <c r="L70">
        <v>70</v>
      </c>
      <c r="M70">
        <v>24</v>
      </c>
      <c r="N70">
        <v>140</v>
      </c>
      <c r="O70">
        <v>96</v>
      </c>
      <c r="P70">
        <v>140</v>
      </c>
      <c r="Q70">
        <v>120</v>
      </c>
      <c r="R70">
        <v>35</v>
      </c>
      <c r="S70">
        <v>80</v>
      </c>
      <c r="T70">
        <v>100</v>
      </c>
      <c r="U70">
        <v>140</v>
      </c>
      <c r="V70">
        <v>35</v>
      </c>
      <c r="W70">
        <v>120</v>
      </c>
      <c r="X70">
        <v>100</v>
      </c>
      <c r="Y70">
        <v>42</v>
      </c>
      <c r="Z70">
        <v>20</v>
      </c>
      <c r="AA70">
        <v>42</v>
      </c>
      <c r="AB70">
        <v>20</v>
      </c>
      <c r="AC70">
        <v>70</v>
      </c>
      <c r="AD70">
        <v>84</v>
      </c>
      <c r="AE70">
        <v>60</v>
      </c>
      <c r="AF70">
        <v>35</v>
      </c>
      <c r="AG70">
        <v>24</v>
      </c>
      <c r="AH70">
        <v>20</v>
      </c>
      <c r="AI70">
        <v>84</v>
      </c>
      <c r="AJ70">
        <v>35</v>
      </c>
      <c r="AK70">
        <v>35</v>
      </c>
      <c r="AL70">
        <v>20</v>
      </c>
      <c r="AM70">
        <v>80</v>
      </c>
      <c r="AN70">
        <v>140</v>
      </c>
      <c r="AO70">
        <v>140</v>
      </c>
      <c r="AP70">
        <v>25</v>
      </c>
      <c r="AQ70">
        <v>20</v>
      </c>
      <c r="AR70">
        <v>42</v>
      </c>
      <c r="AS70">
        <v>42</v>
      </c>
      <c r="AT70">
        <v>20</v>
      </c>
      <c r="AU70">
        <v>20</v>
      </c>
      <c r="AV70">
        <v>80</v>
      </c>
      <c r="AW70">
        <v>20</v>
      </c>
      <c r="AX70">
        <v>80</v>
      </c>
      <c r="AY70">
        <v>140</v>
      </c>
      <c r="AZ70">
        <v>100</v>
      </c>
      <c r="BA70">
        <v>25</v>
      </c>
      <c r="BB70">
        <v>240</v>
      </c>
      <c r="BC70">
        <v>42</v>
      </c>
      <c r="BD70">
        <v>42</v>
      </c>
      <c r="BE70">
        <v>168</v>
      </c>
      <c r="BF70">
        <v>120</v>
      </c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</row>
    <row r="71" spans="8:108" x14ac:dyDescent="0.2">
      <c r="H71" s="64">
        <v>69</v>
      </c>
      <c r="I71">
        <v>42</v>
      </c>
      <c r="J71">
        <v>35</v>
      </c>
      <c r="K71">
        <v>80</v>
      </c>
      <c r="L71">
        <v>100</v>
      </c>
      <c r="M71">
        <v>20</v>
      </c>
      <c r="N71">
        <v>140</v>
      </c>
      <c r="O71">
        <v>35</v>
      </c>
      <c r="P71">
        <v>96</v>
      </c>
      <c r="Q71">
        <v>100</v>
      </c>
      <c r="R71">
        <v>100</v>
      </c>
      <c r="S71">
        <v>70</v>
      </c>
      <c r="T71">
        <v>42</v>
      </c>
      <c r="U71">
        <v>35</v>
      </c>
      <c r="V71">
        <v>50</v>
      </c>
      <c r="W71">
        <v>25</v>
      </c>
      <c r="X71">
        <v>42</v>
      </c>
      <c r="Y71">
        <v>84</v>
      </c>
      <c r="Z71">
        <v>42</v>
      </c>
      <c r="AA71">
        <v>35</v>
      </c>
      <c r="AB71">
        <v>24</v>
      </c>
      <c r="AC71">
        <v>30</v>
      </c>
      <c r="AD71">
        <v>25</v>
      </c>
      <c r="AE71">
        <v>80</v>
      </c>
      <c r="AF71">
        <v>100</v>
      </c>
      <c r="AG71">
        <v>168</v>
      </c>
      <c r="AH71">
        <v>100</v>
      </c>
      <c r="AI71">
        <v>42</v>
      </c>
      <c r="AJ71">
        <v>42</v>
      </c>
      <c r="AK71">
        <v>140</v>
      </c>
      <c r="AL71">
        <v>100</v>
      </c>
      <c r="AM71">
        <v>24</v>
      </c>
      <c r="AN71">
        <v>80</v>
      </c>
      <c r="AO71">
        <v>42</v>
      </c>
      <c r="AP71">
        <v>24</v>
      </c>
      <c r="AQ71">
        <v>168</v>
      </c>
      <c r="AR71">
        <v>120</v>
      </c>
      <c r="AS71">
        <v>42</v>
      </c>
      <c r="AT71">
        <v>120</v>
      </c>
      <c r="AU71">
        <v>120</v>
      </c>
      <c r="AV71">
        <v>42</v>
      </c>
      <c r="AW71">
        <v>80</v>
      </c>
      <c r="AX71">
        <v>35</v>
      </c>
      <c r="AY71">
        <v>30</v>
      </c>
      <c r="AZ71">
        <v>100</v>
      </c>
      <c r="BA71">
        <v>70</v>
      </c>
      <c r="BB71">
        <v>96</v>
      </c>
      <c r="BC71">
        <v>25</v>
      </c>
      <c r="BD71">
        <v>60</v>
      </c>
      <c r="BE71">
        <v>84</v>
      </c>
      <c r="BF71">
        <v>35</v>
      </c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</row>
    <row r="72" spans="8:108" x14ac:dyDescent="0.2">
      <c r="H72" s="64">
        <v>70</v>
      </c>
      <c r="I72">
        <v>30</v>
      </c>
      <c r="J72">
        <v>200</v>
      </c>
      <c r="K72">
        <v>100</v>
      </c>
      <c r="L72">
        <v>20</v>
      </c>
      <c r="M72">
        <v>25</v>
      </c>
      <c r="N72">
        <v>24</v>
      </c>
      <c r="O72">
        <v>140</v>
      </c>
      <c r="P72">
        <v>140</v>
      </c>
      <c r="Q72">
        <v>20</v>
      </c>
      <c r="R72">
        <v>42</v>
      </c>
      <c r="S72">
        <v>80</v>
      </c>
      <c r="T72">
        <v>168</v>
      </c>
      <c r="U72">
        <v>24</v>
      </c>
      <c r="V72">
        <v>140</v>
      </c>
      <c r="W72">
        <v>120</v>
      </c>
      <c r="X72">
        <v>70</v>
      </c>
      <c r="Y72">
        <v>35</v>
      </c>
      <c r="Z72">
        <v>35</v>
      </c>
      <c r="AA72">
        <v>100</v>
      </c>
      <c r="AB72">
        <v>30</v>
      </c>
      <c r="AC72">
        <v>42</v>
      </c>
      <c r="AD72">
        <v>140</v>
      </c>
      <c r="AE72">
        <v>140</v>
      </c>
      <c r="AF72">
        <v>20</v>
      </c>
      <c r="AG72">
        <v>42</v>
      </c>
      <c r="AH72">
        <v>30</v>
      </c>
      <c r="AI72">
        <v>42</v>
      </c>
      <c r="AJ72">
        <v>100</v>
      </c>
      <c r="AK72">
        <v>100</v>
      </c>
      <c r="AL72">
        <v>96</v>
      </c>
      <c r="AM72">
        <v>20</v>
      </c>
      <c r="AN72">
        <v>20</v>
      </c>
      <c r="AO72">
        <v>35</v>
      </c>
      <c r="AP72">
        <v>42</v>
      </c>
      <c r="AQ72">
        <v>100</v>
      </c>
      <c r="AR72">
        <v>96</v>
      </c>
      <c r="AS72">
        <v>200</v>
      </c>
      <c r="AT72">
        <v>96</v>
      </c>
      <c r="AU72">
        <v>120</v>
      </c>
      <c r="AV72">
        <v>240</v>
      </c>
      <c r="AW72">
        <v>70</v>
      </c>
      <c r="AX72">
        <v>20</v>
      </c>
      <c r="AY72">
        <v>35</v>
      </c>
      <c r="AZ72">
        <v>24</v>
      </c>
      <c r="BA72">
        <v>42</v>
      </c>
      <c r="BB72">
        <v>20</v>
      </c>
      <c r="BC72">
        <v>30</v>
      </c>
      <c r="BD72">
        <v>96</v>
      </c>
      <c r="BE72">
        <v>120</v>
      </c>
      <c r="BF72">
        <v>35</v>
      </c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</row>
    <row r="73" spans="8:108" x14ac:dyDescent="0.2">
      <c r="H73" s="64">
        <v>71</v>
      </c>
      <c r="I73">
        <v>20</v>
      </c>
      <c r="J73">
        <v>24</v>
      </c>
      <c r="K73">
        <v>35</v>
      </c>
      <c r="L73">
        <v>140</v>
      </c>
      <c r="M73">
        <v>24</v>
      </c>
      <c r="N73">
        <v>100</v>
      </c>
      <c r="O73">
        <v>42</v>
      </c>
      <c r="P73">
        <v>120</v>
      </c>
      <c r="Q73">
        <v>20</v>
      </c>
      <c r="R73">
        <v>30</v>
      </c>
      <c r="S73">
        <v>24</v>
      </c>
      <c r="T73">
        <v>42</v>
      </c>
      <c r="U73">
        <v>84</v>
      </c>
      <c r="V73">
        <v>35</v>
      </c>
      <c r="W73">
        <v>25</v>
      </c>
      <c r="X73">
        <v>42</v>
      </c>
      <c r="Y73">
        <v>20</v>
      </c>
      <c r="Z73">
        <v>100</v>
      </c>
      <c r="AA73">
        <v>80</v>
      </c>
      <c r="AB73">
        <v>100</v>
      </c>
      <c r="AC73">
        <v>25</v>
      </c>
      <c r="AD73">
        <v>35</v>
      </c>
      <c r="AE73">
        <v>200</v>
      </c>
      <c r="AF73">
        <v>84</v>
      </c>
      <c r="AG73">
        <v>100</v>
      </c>
      <c r="AH73">
        <v>25</v>
      </c>
      <c r="AI73">
        <v>42</v>
      </c>
      <c r="AJ73">
        <v>100</v>
      </c>
      <c r="AK73">
        <v>42</v>
      </c>
      <c r="AL73">
        <v>35</v>
      </c>
      <c r="AM73">
        <v>24</v>
      </c>
      <c r="AN73">
        <v>35</v>
      </c>
      <c r="AO73">
        <v>42</v>
      </c>
      <c r="AP73">
        <v>100</v>
      </c>
      <c r="AQ73">
        <v>120</v>
      </c>
      <c r="AR73">
        <v>200</v>
      </c>
      <c r="AS73">
        <v>24</v>
      </c>
      <c r="AT73">
        <v>35</v>
      </c>
      <c r="AU73">
        <v>100</v>
      </c>
      <c r="AV73">
        <v>96</v>
      </c>
      <c r="AW73">
        <v>35</v>
      </c>
      <c r="AX73">
        <v>42</v>
      </c>
      <c r="AY73">
        <v>42</v>
      </c>
      <c r="AZ73">
        <v>120</v>
      </c>
      <c r="BA73">
        <v>84</v>
      </c>
      <c r="BB73">
        <v>120</v>
      </c>
      <c r="BC73">
        <v>20</v>
      </c>
      <c r="BD73">
        <v>120</v>
      </c>
      <c r="BE73">
        <v>20</v>
      </c>
      <c r="BF73">
        <v>24</v>
      </c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</row>
    <row r="74" spans="8:108" x14ac:dyDescent="0.2">
      <c r="H74" s="64">
        <v>72</v>
      </c>
      <c r="I74">
        <v>42</v>
      </c>
      <c r="J74">
        <v>84</v>
      </c>
      <c r="K74">
        <v>100</v>
      </c>
      <c r="L74">
        <v>96</v>
      </c>
      <c r="M74">
        <v>120</v>
      </c>
      <c r="N74">
        <v>240</v>
      </c>
      <c r="O74">
        <v>24</v>
      </c>
      <c r="P74">
        <v>84</v>
      </c>
      <c r="Q74">
        <v>35</v>
      </c>
      <c r="R74">
        <v>42</v>
      </c>
      <c r="S74">
        <v>20</v>
      </c>
      <c r="T74">
        <v>50</v>
      </c>
      <c r="U74">
        <v>20</v>
      </c>
      <c r="V74">
        <v>35</v>
      </c>
      <c r="W74">
        <v>24</v>
      </c>
      <c r="X74">
        <v>120</v>
      </c>
      <c r="Y74">
        <v>42</v>
      </c>
      <c r="Z74">
        <v>140</v>
      </c>
      <c r="AA74">
        <v>30</v>
      </c>
      <c r="AB74">
        <v>96</v>
      </c>
      <c r="AC74">
        <v>35</v>
      </c>
      <c r="AD74">
        <v>24</v>
      </c>
      <c r="AE74">
        <v>42</v>
      </c>
      <c r="AF74">
        <v>42</v>
      </c>
      <c r="AG74">
        <v>42</v>
      </c>
      <c r="AH74">
        <v>20</v>
      </c>
      <c r="AI74">
        <v>100</v>
      </c>
      <c r="AJ74">
        <v>35</v>
      </c>
      <c r="AK74">
        <v>100</v>
      </c>
      <c r="AL74">
        <v>42</v>
      </c>
      <c r="AM74">
        <v>35</v>
      </c>
      <c r="AN74">
        <v>80</v>
      </c>
      <c r="AO74">
        <v>100</v>
      </c>
      <c r="AP74">
        <v>100</v>
      </c>
      <c r="AQ74">
        <v>240</v>
      </c>
      <c r="AR74">
        <v>70</v>
      </c>
      <c r="AS74">
        <v>84</v>
      </c>
      <c r="AT74">
        <v>20</v>
      </c>
      <c r="AU74">
        <v>35</v>
      </c>
      <c r="AV74">
        <v>20</v>
      </c>
      <c r="AW74">
        <v>168</v>
      </c>
      <c r="AX74">
        <v>100</v>
      </c>
      <c r="AY74">
        <v>140</v>
      </c>
      <c r="AZ74">
        <v>24</v>
      </c>
      <c r="BA74">
        <v>70</v>
      </c>
      <c r="BB74">
        <v>25</v>
      </c>
      <c r="BC74">
        <v>35</v>
      </c>
      <c r="BD74">
        <v>25</v>
      </c>
      <c r="BE74">
        <v>42</v>
      </c>
      <c r="BF74">
        <v>120</v>
      </c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</row>
    <row r="75" spans="8:108" x14ac:dyDescent="0.2">
      <c r="H75" s="64">
        <v>73</v>
      </c>
      <c r="I75">
        <v>140</v>
      </c>
      <c r="J75">
        <v>35</v>
      </c>
      <c r="K75">
        <v>84</v>
      </c>
      <c r="L75">
        <v>70</v>
      </c>
      <c r="M75">
        <v>200</v>
      </c>
      <c r="N75">
        <v>120</v>
      </c>
      <c r="O75">
        <v>168</v>
      </c>
      <c r="P75">
        <v>24</v>
      </c>
      <c r="Q75">
        <v>140</v>
      </c>
      <c r="R75">
        <v>80</v>
      </c>
      <c r="S75">
        <v>168</v>
      </c>
      <c r="T75">
        <v>30</v>
      </c>
      <c r="U75">
        <v>30</v>
      </c>
      <c r="V75">
        <v>30</v>
      </c>
      <c r="W75">
        <v>30</v>
      </c>
      <c r="X75">
        <v>35</v>
      </c>
      <c r="Y75">
        <v>24</v>
      </c>
      <c r="Z75">
        <v>20</v>
      </c>
      <c r="AA75">
        <v>168</v>
      </c>
      <c r="AB75">
        <v>20</v>
      </c>
      <c r="AC75">
        <v>35</v>
      </c>
      <c r="AD75">
        <v>35</v>
      </c>
      <c r="AE75">
        <v>80</v>
      </c>
      <c r="AF75">
        <v>120</v>
      </c>
      <c r="AG75">
        <v>120</v>
      </c>
      <c r="AH75">
        <v>120</v>
      </c>
      <c r="AI75">
        <v>35</v>
      </c>
      <c r="AJ75">
        <v>42</v>
      </c>
      <c r="AK75">
        <v>168</v>
      </c>
      <c r="AL75">
        <v>140</v>
      </c>
      <c r="AM75">
        <v>120</v>
      </c>
      <c r="AN75">
        <v>120</v>
      </c>
      <c r="AO75">
        <v>70</v>
      </c>
      <c r="AP75">
        <v>100</v>
      </c>
      <c r="AQ75">
        <v>42</v>
      </c>
      <c r="AR75">
        <v>100</v>
      </c>
      <c r="AS75">
        <v>84</v>
      </c>
      <c r="AT75">
        <v>20</v>
      </c>
      <c r="AU75">
        <v>100</v>
      </c>
      <c r="AV75">
        <v>25</v>
      </c>
      <c r="AW75">
        <v>25</v>
      </c>
      <c r="AX75">
        <v>42</v>
      </c>
      <c r="AY75">
        <v>84</v>
      </c>
      <c r="AZ75">
        <v>20</v>
      </c>
      <c r="BA75">
        <v>24</v>
      </c>
      <c r="BB75">
        <v>42</v>
      </c>
      <c r="BC75">
        <v>20</v>
      </c>
      <c r="BD75">
        <v>25</v>
      </c>
      <c r="BE75">
        <v>42</v>
      </c>
      <c r="BF75">
        <v>168</v>
      </c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</row>
    <row r="76" spans="8:108" x14ac:dyDescent="0.2">
      <c r="H76" s="64">
        <v>74</v>
      </c>
      <c r="I76">
        <v>42</v>
      </c>
      <c r="J76">
        <v>35</v>
      </c>
      <c r="K76">
        <v>42</v>
      </c>
      <c r="L76">
        <v>100</v>
      </c>
      <c r="M76">
        <v>20</v>
      </c>
      <c r="N76">
        <v>42</v>
      </c>
      <c r="O76">
        <v>35</v>
      </c>
      <c r="P76">
        <v>35</v>
      </c>
      <c r="Q76">
        <v>35</v>
      </c>
      <c r="R76">
        <v>42</v>
      </c>
      <c r="S76">
        <v>24</v>
      </c>
      <c r="T76">
        <v>100</v>
      </c>
      <c r="U76">
        <v>100</v>
      </c>
      <c r="V76">
        <v>35</v>
      </c>
      <c r="W76">
        <v>120</v>
      </c>
      <c r="X76">
        <v>24</v>
      </c>
      <c r="Y76">
        <v>42</v>
      </c>
      <c r="Z76">
        <v>42</v>
      </c>
      <c r="AA76">
        <v>42</v>
      </c>
      <c r="AB76">
        <v>100</v>
      </c>
      <c r="AC76">
        <v>120</v>
      </c>
      <c r="AD76">
        <v>24</v>
      </c>
      <c r="AE76">
        <v>100</v>
      </c>
      <c r="AF76">
        <v>35</v>
      </c>
      <c r="AG76">
        <v>20</v>
      </c>
      <c r="AH76">
        <v>24</v>
      </c>
      <c r="AI76">
        <v>35</v>
      </c>
      <c r="AJ76">
        <v>80</v>
      </c>
      <c r="AK76">
        <v>35</v>
      </c>
      <c r="AL76">
        <v>24</v>
      </c>
      <c r="AM76">
        <v>42</v>
      </c>
      <c r="AN76">
        <v>70</v>
      </c>
      <c r="AO76">
        <v>42</v>
      </c>
      <c r="AP76">
        <v>35</v>
      </c>
      <c r="AQ76">
        <v>140</v>
      </c>
      <c r="AR76">
        <v>42</v>
      </c>
      <c r="AS76">
        <v>42</v>
      </c>
      <c r="AT76">
        <v>70</v>
      </c>
      <c r="AU76">
        <v>42</v>
      </c>
      <c r="AV76">
        <v>35</v>
      </c>
      <c r="AW76">
        <v>35</v>
      </c>
      <c r="AX76">
        <v>35</v>
      </c>
      <c r="AY76">
        <v>30</v>
      </c>
      <c r="AZ76">
        <v>24</v>
      </c>
      <c r="BA76">
        <v>100</v>
      </c>
      <c r="BB76">
        <v>42</v>
      </c>
      <c r="BC76">
        <v>70</v>
      </c>
      <c r="BD76">
        <v>120</v>
      </c>
      <c r="BE76">
        <v>35</v>
      </c>
      <c r="BF76">
        <v>35</v>
      </c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</row>
    <row r="77" spans="8:108" x14ac:dyDescent="0.2">
      <c r="H77" s="64">
        <v>75</v>
      </c>
      <c r="I77">
        <v>80</v>
      </c>
      <c r="J77">
        <v>100</v>
      </c>
      <c r="K77">
        <v>100</v>
      </c>
      <c r="L77">
        <v>42</v>
      </c>
      <c r="M77">
        <v>24</v>
      </c>
      <c r="N77">
        <v>70</v>
      </c>
      <c r="O77">
        <v>20</v>
      </c>
      <c r="P77">
        <v>140</v>
      </c>
      <c r="Q77">
        <v>35</v>
      </c>
      <c r="R77">
        <v>100</v>
      </c>
      <c r="S77">
        <v>25</v>
      </c>
      <c r="T77">
        <v>100</v>
      </c>
      <c r="U77">
        <v>35</v>
      </c>
      <c r="V77">
        <v>35</v>
      </c>
      <c r="W77">
        <v>35</v>
      </c>
      <c r="X77">
        <v>60</v>
      </c>
      <c r="Y77">
        <v>42</v>
      </c>
      <c r="Z77">
        <v>42</v>
      </c>
      <c r="AA77">
        <v>168</v>
      </c>
      <c r="AB77">
        <v>140</v>
      </c>
      <c r="AC77">
        <v>140</v>
      </c>
      <c r="AD77">
        <v>24</v>
      </c>
      <c r="AE77">
        <v>42</v>
      </c>
      <c r="AF77">
        <v>35</v>
      </c>
      <c r="AG77">
        <v>96</v>
      </c>
      <c r="AH77">
        <v>70</v>
      </c>
      <c r="AI77">
        <v>35</v>
      </c>
      <c r="AJ77">
        <v>30</v>
      </c>
      <c r="AK77">
        <v>35</v>
      </c>
      <c r="AL77">
        <v>42</v>
      </c>
      <c r="AM77">
        <v>20</v>
      </c>
      <c r="AN77">
        <v>100</v>
      </c>
      <c r="AO77">
        <v>20</v>
      </c>
      <c r="AP77">
        <v>20</v>
      </c>
      <c r="AQ77">
        <v>30</v>
      </c>
      <c r="AR77">
        <v>168</v>
      </c>
      <c r="AS77">
        <v>42</v>
      </c>
      <c r="AT77">
        <v>84</v>
      </c>
      <c r="AU77">
        <v>96</v>
      </c>
      <c r="AV77">
        <v>42</v>
      </c>
      <c r="AW77">
        <v>35</v>
      </c>
      <c r="AX77">
        <v>35</v>
      </c>
      <c r="AY77">
        <v>20</v>
      </c>
      <c r="AZ77">
        <v>25</v>
      </c>
      <c r="BA77">
        <v>100</v>
      </c>
      <c r="BB77">
        <v>96</v>
      </c>
      <c r="BC77">
        <v>20</v>
      </c>
      <c r="BD77">
        <v>120</v>
      </c>
      <c r="BE77">
        <v>42</v>
      </c>
      <c r="BF77">
        <v>24</v>
      </c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</row>
    <row r="78" spans="8:108" x14ac:dyDescent="0.2">
      <c r="H78" s="64">
        <v>76</v>
      </c>
      <c r="I78">
        <v>35</v>
      </c>
      <c r="J78">
        <v>84</v>
      </c>
      <c r="K78">
        <v>42</v>
      </c>
      <c r="L78">
        <v>25</v>
      </c>
      <c r="M78">
        <v>30</v>
      </c>
      <c r="N78">
        <v>25</v>
      </c>
      <c r="O78">
        <v>24</v>
      </c>
      <c r="P78">
        <v>100</v>
      </c>
      <c r="Q78">
        <v>24</v>
      </c>
      <c r="R78">
        <v>100</v>
      </c>
      <c r="S78">
        <v>25</v>
      </c>
      <c r="T78">
        <v>100</v>
      </c>
      <c r="U78">
        <v>120</v>
      </c>
      <c r="V78">
        <v>120</v>
      </c>
      <c r="W78">
        <v>35</v>
      </c>
      <c r="X78">
        <v>120</v>
      </c>
      <c r="Y78">
        <v>42</v>
      </c>
      <c r="Z78">
        <v>120</v>
      </c>
      <c r="AA78">
        <v>140</v>
      </c>
      <c r="AB78">
        <v>25</v>
      </c>
      <c r="AC78">
        <v>25</v>
      </c>
      <c r="AD78">
        <v>42</v>
      </c>
      <c r="AE78">
        <v>100</v>
      </c>
      <c r="AF78">
        <v>140</v>
      </c>
      <c r="AG78">
        <v>100</v>
      </c>
      <c r="AH78">
        <v>96</v>
      </c>
      <c r="AI78">
        <v>42</v>
      </c>
      <c r="AJ78">
        <v>100</v>
      </c>
      <c r="AK78">
        <v>35</v>
      </c>
      <c r="AL78">
        <v>200</v>
      </c>
      <c r="AM78">
        <v>140</v>
      </c>
      <c r="AN78">
        <v>240</v>
      </c>
      <c r="AO78">
        <v>168</v>
      </c>
      <c r="AP78">
        <v>120</v>
      </c>
      <c r="AQ78">
        <v>140</v>
      </c>
      <c r="AR78">
        <v>20</v>
      </c>
      <c r="AS78">
        <v>42</v>
      </c>
      <c r="AT78">
        <v>200</v>
      </c>
      <c r="AU78">
        <v>42</v>
      </c>
      <c r="AV78">
        <v>80</v>
      </c>
      <c r="AW78">
        <v>42</v>
      </c>
      <c r="AX78">
        <v>140</v>
      </c>
      <c r="AY78">
        <v>96</v>
      </c>
      <c r="AZ78">
        <v>84</v>
      </c>
      <c r="BA78">
        <v>42</v>
      </c>
      <c r="BB78">
        <v>140</v>
      </c>
      <c r="BC78">
        <v>30</v>
      </c>
      <c r="BD78">
        <v>25</v>
      </c>
      <c r="BE78">
        <v>25</v>
      </c>
      <c r="BF78">
        <v>35</v>
      </c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</row>
    <row r="79" spans="8:108" x14ac:dyDescent="0.2">
      <c r="H79" s="64">
        <v>77</v>
      </c>
      <c r="I79">
        <v>42</v>
      </c>
      <c r="J79">
        <v>140</v>
      </c>
      <c r="K79">
        <v>30</v>
      </c>
      <c r="L79">
        <v>35</v>
      </c>
      <c r="M79">
        <v>84</v>
      </c>
      <c r="N79">
        <v>100</v>
      </c>
      <c r="O79">
        <v>20</v>
      </c>
      <c r="P79">
        <v>100</v>
      </c>
      <c r="Q79">
        <v>120</v>
      </c>
      <c r="R79">
        <v>24</v>
      </c>
      <c r="S79">
        <v>240</v>
      </c>
      <c r="T79">
        <v>70</v>
      </c>
      <c r="U79">
        <v>20</v>
      </c>
      <c r="V79">
        <v>24</v>
      </c>
      <c r="W79">
        <v>140</v>
      </c>
      <c r="X79">
        <v>70</v>
      </c>
      <c r="Y79">
        <v>80</v>
      </c>
      <c r="Z79">
        <v>42</v>
      </c>
      <c r="AA79">
        <v>20</v>
      </c>
      <c r="AB79">
        <v>80</v>
      </c>
      <c r="AC79">
        <v>20</v>
      </c>
      <c r="AD79">
        <v>140</v>
      </c>
      <c r="AE79">
        <v>35</v>
      </c>
      <c r="AF79">
        <v>20</v>
      </c>
      <c r="AG79">
        <v>42</v>
      </c>
      <c r="AH79">
        <v>70</v>
      </c>
      <c r="AI79">
        <v>35</v>
      </c>
      <c r="AJ79">
        <v>100</v>
      </c>
      <c r="AK79">
        <v>20</v>
      </c>
      <c r="AL79">
        <v>96</v>
      </c>
      <c r="AM79">
        <v>35</v>
      </c>
      <c r="AN79">
        <v>24</v>
      </c>
      <c r="AO79">
        <v>25</v>
      </c>
      <c r="AP79">
        <v>42</v>
      </c>
      <c r="AQ79">
        <v>24</v>
      </c>
      <c r="AR79">
        <v>140</v>
      </c>
      <c r="AS79">
        <v>120</v>
      </c>
      <c r="AT79">
        <v>35</v>
      </c>
      <c r="AU79">
        <v>70</v>
      </c>
      <c r="AV79">
        <v>140</v>
      </c>
      <c r="AW79">
        <v>42</v>
      </c>
      <c r="AX79">
        <v>35</v>
      </c>
      <c r="AY79">
        <v>35</v>
      </c>
      <c r="AZ79">
        <v>96</v>
      </c>
      <c r="BA79">
        <v>20</v>
      </c>
      <c r="BB79">
        <v>140</v>
      </c>
      <c r="BC79">
        <v>42</v>
      </c>
      <c r="BD79">
        <v>24</v>
      </c>
      <c r="BE79">
        <v>200</v>
      </c>
      <c r="BF79">
        <v>84</v>
      </c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</row>
    <row r="80" spans="8:108" x14ac:dyDescent="0.2">
      <c r="H80" s="64">
        <v>78</v>
      </c>
      <c r="I80">
        <v>70</v>
      </c>
      <c r="J80">
        <v>120</v>
      </c>
      <c r="K80">
        <v>140</v>
      </c>
      <c r="L80">
        <v>140</v>
      </c>
      <c r="M80">
        <v>35</v>
      </c>
      <c r="N80">
        <v>30</v>
      </c>
      <c r="O80">
        <v>100</v>
      </c>
      <c r="P80">
        <v>20</v>
      </c>
      <c r="Q80">
        <v>35</v>
      </c>
      <c r="R80">
        <v>35</v>
      </c>
      <c r="S80">
        <v>70</v>
      </c>
      <c r="T80">
        <v>20</v>
      </c>
      <c r="U80">
        <v>24</v>
      </c>
      <c r="V80">
        <v>120</v>
      </c>
      <c r="W80">
        <v>70</v>
      </c>
      <c r="X80">
        <v>84</v>
      </c>
      <c r="Y80">
        <v>42</v>
      </c>
      <c r="Z80">
        <v>140</v>
      </c>
      <c r="AA80">
        <v>20</v>
      </c>
      <c r="AB80">
        <v>24</v>
      </c>
      <c r="AC80">
        <v>35</v>
      </c>
      <c r="AD80">
        <v>24</v>
      </c>
      <c r="AE80">
        <v>100</v>
      </c>
      <c r="AF80">
        <v>35</v>
      </c>
      <c r="AG80">
        <v>96</v>
      </c>
      <c r="AH80">
        <v>35</v>
      </c>
      <c r="AI80">
        <v>25</v>
      </c>
      <c r="AJ80">
        <v>35</v>
      </c>
      <c r="AK80">
        <v>120</v>
      </c>
      <c r="AL80">
        <v>42</v>
      </c>
      <c r="AM80">
        <v>168</v>
      </c>
      <c r="AN80">
        <v>120</v>
      </c>
      <c r="AO80">
        <v>120</v>
      </c>
      <c r="AP80">
        <v>42</v>
      </c>
      <c r="AQ80">
        <v>35</v>
      </c>
      <c r="AR80">
        <v>20</v>
      </c>
      <c r="AS80">
        <v>35</v>
      </c>
      <c r="AT80">
        <v>120</v>
      </c>
      <c r="AU80">
        <v>42</v>
      </c>
      <c r="AV80">
        <v>25</v>
      </c>
      <c r="AW80">
        <v>30</v>
      </c>
      <c r="AX80">
        <v>140</v>
      </c>
      <c r="AY80">
        <v>35</v>
      </c>
      <c r="AZ80">
        <v>20</v>
      </c>
      <c r="BA80">
        <v>140</v>
      </c>
      <c r="BB80">
        <v>80</v>
      </c>
      <c r="BC80">
        <v>42</v>
      </c>
      <c r="BD80">
        <v>100</v>
      </c>
      <c r="BE80">
        <v>25</v>
      </c>
      <c r="BF80">
        <v>20</v>
      </c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</row>
    <row r="81" spans="8:108" x14ac:dyDescent="0.2">
      <c r="H81" s="64">
        <v>79</v>
      </c>
      <c r="I81">
        <v>42</v>
      </c>
      <c r="J81">
        <v>50</v>
      </c>
      <c r="K81">
        <v>35</v>
      </c>
      <c r="L81">
        <v>20</v>
      </c>
      <c r="M81">
        <v>100</v>
      </c>
      <c r="N81">
        <v>140</v>
      </c>
      <c r="O81">
        <v>140</v>
      </c>
      <c r="P81">
        <v>100</v>
      </c>
      <c r="Q81">
        <v>70</v>
      </c>
      <c r="R81">
        <v>35</v>
      </c>
      <c r="S81">
        <v>20</v>
      </c>
      <c r="T81">
        <v>100</v>
      </c>
      <c r="U81">
        <v>100</v>
      </c>
      <c r="V81">
        <v>35</v>
      </c>
      <c r="W81">
        <v>35</v>
      </c>
      <c r="X81">
        <v>20</v>
      </c>
      <c r="Y81">
        <v>140</v>
      </c>
      <c r="Z81">
        <v>200</v>
      </c>
      <c r="AA81">
        <v>42</v>
      </c>
      <c r="AB81">
        <v>20</v>
      </c>
      <c r="AC81">
        <v>120</v>
      </c>
      <c r="AD81">
        <v>35</v>
      </c>
      <c r="AE81">
        <v>35</v>
      </c>
      <c r="AF81">
        <v>42</v>
      </c>
      <c r="AG81">
        <v>42</v>
      </c>
      <c r="AH81">
        <v>42</v>
      </c>
      <c r="AI81">
        <v>100</v>
      </c>
      <c r="AJ81">
        <v>35</v>
      </c>
      <c r="AK81">
        <v>42</v>
      </c>
      <c r="AL81">
        <v>35</v>
      </c>
      <c r="AM81">
        <v>120</v>
      </c>
      <c r="AN81">
        <v>20</v>
      </c>
      <c r="AO81">
        <v>80</v>
      </c>
      <c r="AP81">
        <v>140</v>
      </c>
      <c r="AQ81">
        <v>140</v>
      </c>
      <c r="AR81">
        <v>140</v>
      </c>
      <c r="AS81">
        <v>120</v>
      </c>
      <c r="AT81">
        <v>24</v>
      </c>
      <c r="AU81">
        <v>42</v>
      </c>
      <c r="AV81">
        <v>140</v>
      </c>
      <c r="AW81">
        <v>35</v>
      </c>
      <c r="AX81">
        <v>20</v>
      </c>
      <c r="AY81">
        <v>84</v>
      </c>
      <c r="AZ81">
        <v>50</v>
      </c>
      <c r="BA81">
        <v>140</v>
      </c>
      <c r="BB81">
        <v>120</v>
      </c>
      <c r="BC81">
        <v>24</v>
      </c>
      <c r="BD81">
        <v>42</v>
      </c>
      <c r="BE81">
        <v>240</v>
      </c>
      <c r="BF81">
        <v>84</v>
      </c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</row>
    <row r="82" spans="8:108" x14ac:dyDescent="0.2">
      <c r="H82" s="64">
        <v>80</v>
      </c>
      <c r="I82">
        <v>84</v>
      </c>
      <c r="J82">
        <v>25</v>
      </c>
      <c r="K82">
        <v>30</v>
      </c>
      <c r="L82">
        <v>35</v>
      </c>
      <c r="M82">
        <v>35</v>
      </c>
      <c r="N82">
        <v>96</v>
      </c>
      <c r="O82">
        <v>24</v>
      </c>
      <c r="P82">
        <v>20</v>
      </c>
      <c r="Q82">
        <v>30</v>
      </c>
      <c r="R82">
        <v>42</v>
      </c>
      <c r="S82">
        <v>20</v>
      </c>
      <c r="T82">
        <v>100</v>
      </c>
      <c r="U82">
        <v>240</v>
      </c>
      <c r="V82">
        <v>100</v>
      </c>
      <c r="W82">
        <v>42</v>
      </c>
      <c r="X82">
        <v>60</v>
      </c>
      <c r="Y82">
        <v>42</v>
      </c>
      <c r="Z82">
        <v>35</v>
      </c>
      <c r="AA82">
        <v>42</v>
      </c>
      <c r="AB82">
        <v>240</v>
      </c>
      <c r="AC82">
        <v>20</v>
      </c>
      <c r="AD82">
        <v>24</v>
      </c>
      <c r="AE82">
        <v>20</v>
      </c>
      <c r="AF82">
        <v>20</v>
      </c>
      <c r="AG82">
        <v>100</v>
      </c>
      <c r="AH82">
        <v>25</v>
      </c>
      <c r="AI82">
        <v>168</v>
      </c>
      <c r="AJ82">
        <v>42</v>
      </c>
      <c r="AK82">
        <v>100</v>
      </c>
      <c r="AL82">
        <v>100</v>
      </c>
      <c r="AM82">
        <v>20</v>
      </c>
      <c r="AN82">
        <v>42</v>
      </c>
      <c r="AO82">
        <v>42</v>
      </c>
      <c r="AP82">
        <v>25</v>
      </c>
      <c r="AQ82">
        <v>35</v>
      </c>
      <c r="AR82">
        <v>240</v>
      </c>
      <c r="AS82">
        <v>24</v>
      </c>
      <c r="AT82">
        <v>84</v>
      </c>
      <c r="AU82">
        <v>100</v>
      </c>
      <c r="AV82">
        <v>30</v>
      </c>
      <c r="AW82">
        <v>120</v>
      </c>
      <c r="AX82">
        <v>35</v>
      </c>
      <c r="AY82">
        <v>100</v>
      </c>
      <c r="AZ82">
        <v>30</v>
      </c>
      <c r="BA82">
        <v>96</v>
      </c>
      <c r="BB82">
        <v>20</v>
      </c>
      <c r="BC82">
        <v>168</v>
      </c>
      <c r="BD82">
        <v>140</v>
      </c>
      <c r="BE82">
        <v>30</v>
      </c>
      <c r="BF82">
        <v>24</v>
      </c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</row>
    <row r="83" spans="8:108" x14ac:dyDescent="0.2">
      <c r="H83" s="64">
        <v>81</v>
      </c>
      <c r="I83">
        <v>42</v>
      </c>
      <c r="J83">
        <v>42</v>
      </c>
      <c r="K83">
        <v>24</v>
      </c>
      <c r="L83">
        <v>42</v>
      </c>
      <c r="M83">
        <v>70</v>
      </c>
      <c r="N83">
        <v>100</v>
      </c>
      <c r="O83">
        <v>200</v>
      </c>
      <c r="P83">
        <v>20</v>
      </c>
      <c r="Q83">
        <v>100</v>
      </c>
      <c r="R83">
        <v>30</v>
      </c>
      <c r="S83">
        <v>80</v>
      </c>
      <c r="T83">
        <v>140</v>
      </c>
      <c r="U83">
        <v>168</v>
      </c>
      <c r="V83">
        <v>120</v>
      </c>
      <c r="W83">
        <v>100</v>
      </c>
      <c r="X83">
        <v>35</v>
      </c>
      <c r="Y83">
        <v>100</v>
      </c>
      <c r="Z83">
        <v>35</v>
      </c>
      <c r="AA83">
        <v>35</v>
      </c>
      <c r="AB83">
        <v>60</v>
      </c>
      <c r="AC83">
        <v>35</v>
      </c>
      <c r="AD83">
        <v>120</v>
      </c>
      <c r="AE83">
        <v>25</v>
      </c>
      <c r="AF83">
        <v>42</v>
      </c>
      <c r="AG83">
        <v>240</v>
      </c>
      <c r="AH83">
        <v>20</v>
      </c>
      <c r="AI83">
        <v>42</v>
      </c>
      <c r="AJ83">
        <v>42</v>
      </c>
      <c r="AK83">
        <v>24</v>
      </c>
      <c r="AL83">
        <v>42</v>
      </c>
      <c r="AM83">
        <v>25</v>
      </c>
      <c r="AN83">
        <v>70</v>
      </c>
      <c r="AO83">
        <v>42</v>
      </c>
      <c r="AP83">
        <v>35</v>
      </c>
      <c r="AQ83">
        <v>100</v>
      </c>
      <c r="AR83">
        <v>80</v>
      </c>
      <c r="AS83">
        <v>100</v>
      </c>
      <c r="AT83">
        <v>100</v>
      </c>
      <c r="AU83">
        <v>200</v>
      </c>
      <c r="AV83">
        <v>25</v>
      </c>
      <c r="AW83">
        <v>70</v>
      </c>
      <c r="AX83">
        <v>84</v>
      </c>
      <c r="AY83">
        <v>42</v>
      </c>
      <c r="AZ83">
        <v>168</v>
      </c>
      <c r="BA83">
        <v>100</v>
      </c>
      <c r="BB83">
        <v>120</v>
      </c>
      <c r="BC83">
        <v>25</v>
      </c>
      <c r="BD83">
        <v>84</v>
      </c>
      <c r="BE83">
        <v>24</v>
      </c>
      <c r="BF83">
        <v>35</v>
      </c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</row>
    <row r="84" spans="8:108" x14ac:dyDescent="0.2">
      <c r="H84" s="64">
        <v>82</v>
      </c>
      <c r="I84">
        <v>25</v>
      </c>
      <c r="J84">
        <v>20</v>
      </c>
      <c r="K84">
        <v>70</v>
      </c>
      <c r="L84">
        <v>70</v>
      </c>
      <c r="M84">
        <v>25</v>
      </c>
      <c r="N84">
        <v>35</v>
      </c>
      <c r="O84">
        <v>42</v>
      </c>
      <c r="P84">
        <v>20</v>
      </c>
      <c r="Q84">
        <v>96</v>
      </c>
      <c r="R84">
        <v>20</v>
      </c>
      <c r="S84">
        <v>35</v>
      </c>
      <c r="T84">
        <v>35</v>
      </c>
      <c r="U84">
        <v>20</v>
      </c>
      <c r="V84">
        <v>100</v>
      </c>
      <c r="W84">
        <v>35</v>
      </c>
      <c r="X84">
        <v>100</v>
      </c>
      <c r="Y84">
        <v>42</v>
      </c>
      <c r="Z84">
        <v>42</v>
      </c>
      <c r="AA84">
        <v>24</v>
      </c>
      <c r="AB84">
        <v>20</v>
      </c>
      <c r="AC84">
        <v>25</v>
      </c>
      <c r="AD84">
        <v>80</v>
      </c>
      <c r="AE84">
        <v>100</v>
      </c>
      <c r="AF84">
        <v>42</v>
      </c>
      <c r="AG84">
        <v>100</v>
      </c>
      <c r="AH84">
        <v>30</v>
      </c>
      <c r="AI84">
        <v>42</v>
      </c>
      <c r="AJ84">
        <v>20</v>
      </c>
      <c r="AK84">
        <v>100</v>
      </c>
      <c r="AL84">
        <v>100</v>
      </c>
      <c r="AM84">
        <v>70</v>
      </c>
      <c r="AN84">
        <v>100</v>
      </c>
      <c r="AO84">
        <v>96</v>
      </c>
      <c r="AP84">
        <v>84</v>
      </c>
      <c r="AQ84">
        <v>20</v>
      </c>
      <c r="AR84">
        <v>120</v>
      </c>
      <c r="AS84">
        <v>120</v>
      </c>
      <c r="AT84">
        <v>120</v>
      </c>
      <c r="AU84">
        <v>140</v>
      </c>
      <c r="AV84">
        <v>120</v>
      </c>
      <c r="AW84">
        <v>60</v>
      </c>
      <c r="AX84">
        <v>24</v>
      </c>
      <c r="AY84">
        <v>96</v>
      </c>
      <c r="AZ84">
        <v>140</v>
      </c>
      <c r="BA84">
        <v>80</v>
      </c>
      <c r="BB84">
        <v>42</v>
      </c>
      <c r="BC84">
        <v>30</v>
      </c>
      <c r="BD84">
        <v>240</v>
      </c>
      <c r="BE84">
        <v>100</v>
      </c>
      <c r="BF84">
        <v>240</v>
      </c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</row>
    <row r="85" spans="8:108" x14ac:dyDescent="0.2">
      <c r="H85" s="64">
        <v>83</v>
      </c>
      <c r="I85">
        <v>120</v>
      </c>
      <c r="J85">
        <v>140</v>
      </c>
      <c r="K85">
        <v>30</v>
      </c>
      <c r="L85">
        <v>120</v>
      </c>
      <c r="M85">
        <v>42</v>
      </c>
      <c r="N85">
        <v>100</v>
      </c>
      <c r="O85">
        <v>42</v>
      </c>
      <c r="P85">
        <v>42</v>
      </c>
      <c r="Q85">
        <v>240</v>
      </c>
      <c r="R85">
        <v>80</v>
      </c>
      <c r="S85">
        <v>100</v>
      </c>
      <c r="T85">
        <v>100</v>
      </c>
      <c r="U85">
        <v>70</v>
      </c>
      <c r="V85">
        <v>25</v>
      </c>
      <c r="W85">
        <v>240</v>
      </c>
      <c r="X85">
        <v>20</v>
      </c>
      <c r="Y85">
        <v>70</v>
      </c>
      <c r="Z85">
        <v>24</v>
      </c>
      <c r="AA85">
        <v>35</v>
      </c>
      <c r="AB85">
        <v>42</v>
      </c>
      <c r="AC85">
        <v>20</v>
      </c>
      <c r="AD85">
        <v>42</v>
      </c>
      <c r="AE85">
        <v>42</v>
      </c>
      <c r="AF85">
        <v>42</v>
      </c>
      <c r="AG85">
        <v>42</v>
      </c>
      <c r="AH85">
        <v>168</v>
      </c>
      <c r="AI85">
        <v>25</v>
      </c>
      <c r="AJ85">
        <v>168</v>
      </c>
      <c r="AK85">
        <v>35</v>
      </c>
      <c r="AL85">
        <v>140</v>
      </c>
      <c r="AM85">
        <v>80</v>
      </c>
      <c r="AN85">
        <v>100</v>
      </c>
      <c r="AO85">
        <v>20</v>
      </c>
      <c r="AP85">
        <v>42</v>
      </c>
      <c r="AQ85">
        <v>42</v>
      </c>
      <c r="AR85">
        <v>100</v>
      </c>
      <c r="AS85">
        <v>25</v>
      </c>
      <c r="AT85">
        <v>35</v>
      </c>
      <c r="AU85">
        <v>20</v>
      </c>
      <c r="AV85">
        <v>100</v>
      </c>
      <c r="AW85">
        <v>35</v>
      </c>
      <c r="AX85">
        <v>25</v>
      </c>
      <c r="AY85">
        <v>35</v>
      </c>
      <c r="AZ85">
        <v>100</v>
      </c>
      <c r="BA85">
        <v>80</v>
      </c>
      <c r="BB85">
        <v>20</v>
      </c>
      <c r="BC85">
        <v>42</v>
      </c>
      <c r="BD85">
        <v>100</v>
      </c>
      <c r="BE85">
        <v>42</v>
      </c>
      <c r="BF85">
        <v>24</v>
      </c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</row>
    <row r="86" spans="8:108" x14ac:dyDescent="0.2">
      <c r="H86" s="64">
        <v>84</v>
      </c>
      <c r="I86">
        <v>140</v>
      </c>
      <c r="J86">
        <v>35</v>
      </c>
      <c r="K86">
        <v>120</v>
      </c>
      <c r="L86">
        <v>96</v>
      </c>
      <c r="M86">
        <v>24</v>
      </c>
      <c r="N86">
        <v>120</v>
      </c>
      <c r="O86">
        <v>35</v>
      </c>
      <c r="P86">
        <v>25</v>
      </c>
      <c r="Q86">
        <v>35</v>
      </c>
      <c r="R86">
        <v>80</v>
      </c>
      <c r="S86">
        <v>35</v>
      </c>
      <c r="T86">
        <v>30</v>
      </c>
      <c r="U86">
        <v>35</v>
      </c>
      <c r="V86">
        <v>120</v>
      </c>
      <c r="W86">
        <v>42</v>
      </c>
      <c r="X86">
        <v>35</v>
      </c>
      <c r="Y86">
        <v>120</v>
      </c>
      <c r="Z86">
        <v>96</v>
      </c>
      <c r="AA86">
        <v>35</v>
      </c>
      <c r="AB86">
        <v>100</v>
      </c>
      <c r="AC86">
        <v>42</v>
      </c>
      <c r="AD86">
        <v>20</v>
      </c>
      <c r="AE86">
        <v>50</v>
      </c>
      <c r="AF86">
        <v>35</v>
      </c>
      <c r="AG86">
        <v>42</v>
      </c>
      <c r="AH86">
        <v>35</v>
      </c>
      <c r="AI86">
        <v>200</v>
      </c>
      <c r="AJ86">
        <v>35</v>
      </c>
      <c r="AK86">
        <v>35</v>
      </c>
      <c r="AL86">
        <v>20</v>
      </c>
      <c r="AM86">
        <v>140</v>
      </c>
      <c r="AN86">
        <v>140</v>
      </c>
      <c r="AO86">
        <v>25</v>
      </c>
      <c r="AP86">
        <v>70</v>
      </c>
      <c r="AQ86">
        <v>35</v>
      </c>
      <c r="AR86">
        <v>25</v>
      </c>
      <c r="AS86">
        <v>140</v>
      </c>
      <c r="AT86">
        <v>168</v>
      </c>
      <c r="AU86">
        <v>42</v>
      </c>
      <c r="AV86">
        <v>24</v>
      </c>
      <c r="AW86">
        <v>42</v>
      </c>
      <c r="AX86">
        <v>42</v>
      </c>
      <c r="AY86">
        <v>35</v>
      </c>
      <c r="AZ86">
        <v>100</v>
      </c>
      <c r="BA86">
        <v>35</v>
      </c>
      <c r="BB86">
        <v>42</v>
      </c>
      <c r="BC86">
        <v>30</v>
      </c>
      <c r="BD86">
        <v>42</v>
      </c>
      <c r="BE86">
        <v>80</v>
      </c>
      <c r="BF86">
        <v>35</v>
      </c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</row>
    <row r="87" spans="8:108" x14ac:dyDescent="0.2">
      <c r="H87" s="64">
        <v>85</v>
      </c>
      <c r="I87">
        <v>60</v>
      </c>
      <c r="J87">
        <v>35</v>
      </c>
      <c r="K87">
        <v>120</v>
      </c>
      <c r="L87">
        <v>35</v>
      </c>
      <c r="M87">
        <v>168</v>
      </c>
      <c r="N87">
        <v>20</v>
      </c>
      <c r="O87">
        <v>30</v>
      </c>
      <c r="P87">
        <v>120</v>
      </c>
      <c r="Q87">
        <v>42</v>
      </c>
      <c r="R87">
        <v>24</v>
      </c>
      <c r="S87">
        <v>140</v>
      </c>
      <c r="T87">
        <v>140</v>
      </c>
      <c r="U87">
        <v>30</v>
      </c>
      <c r="V87">
        <v>35</v>
      </c>
      <c r="W87">
        <v>100</v>
      </c>
      <c r="X87">
        <v>96</v>
      </c>
      <c r="Y87">
        <v>20</v>
      </c>
      <c r="Z87">
        <v>42</v>
      </c>
      <c r="AA87">
        <v>100</v>
      </c>
      <c r="AB87">
        <v>24</v>
      </c>
      <c r="AC87">
        <v>140</v>
      </c>
      <c r="AD87">
        <v>42</v>
      </c>
      <c r="AE87">
        <v>20</v>
      </c>
      <c r="AF87">
        <v>100</v>
      </c>
      <c r="AG87">
        <v>25</v>
      </c>
      <c r="AH87">
        <v>42</v>
      </c>
      <c r="AI87">
        <v>30</v>
      </c>
      <c r="AJ87">
        <v>120</v>
      </c>
      <c r="AK87">
        <v>120</v>
      </c>
      <c r="AL87">
        <v>35</v>
      </c>
      <c r="AM87">
        <v>120</v>
      </c>
      <c r="AN87">
        <v>35</v>
      </c>
      <c r="AO87">
        <v>70</v>
      </c>
      <c r="AP87">
        <v>35</v>
      </c>
      <c r="AQ87">
        <v>35</v>
      </c>
      <c r="AR87">
        <v>35</v>
      </c>
      <c r="AS87">
        <v>100</v>
      </c>
      <c r="AT87">
        <v>30</v>
      </c>
      <c r="AU87">
        <v>25</v>
      </c>
      <c r="AV87">
        <v>70</v>
      </c>
      <c r="AW87">
        <v>35</v>
      </c>
      <c r="AX87">
        <v>240</v>
      </c>
      <c r="AY87">
        <v>35</v>
      </c>
      <c r="AZ87">
        <v>84</v>
      </c>
      <c r="BA87">
        <v>70</v>
      </c>
      <c r="BB87">
        <v>100</v>
      </c>
      <c r="BC87">
        <v>25</v>
      </c>
      <c r="BD87">
        <v>25</v>
      </c>
      <c r="BE87">
        <v>42</v>
      </c>
      <c r="BF87">
        <v>30</v>
      </c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</row>
    <row r="88" spans="8:108" x14ac:dyDescent="0.2">
      <c r="H88" s="64">
        <v>86</v>
      </c>
      <c r="I88">
        <v>42</v>
      </c>
      <c r="J88">
        <v>120</v>
      </c>
      <c r="K88">
        <v>42</v>
      </c>
      <c r="L88">
        <v>42</v>
      </c>
      <c r="M88">
        <v>42</v>
      </c>
      <c r="N88">
        <v>42</v>
      </c>
      <c r="O88">
        <v>80</v>
      </c>
      <c r="P88">
        <v>120</v>
      </c>
      <c r="Q88">
        <v>30</v>
      </c>
      <c r="R88">
        <v>25</v>
      </c>
      <c r="S88">
        <v>20</v>
      </c>
      <c r="T88">
        <v>140</v>
      </c>
      <c r="U88">
        <v>20</v>
      </c>
      <c r="V88">
        <v>20</v>
      </c>
      <c r="W88">
        <v>120</v>
      </c>
      <c r="X88">
        <v>24</v>
      </c>
      <c r="Y88">
        <v>120</v>
      </c>
      <c r="Z88">
        <v>96</v>
      </c>
      <c r="AA88">
        <v>80</v>
      </c>
      <c r="AB88">
        <v>70</v>
      </c>
      <c r="AC88">
        <v>120</v>
      </c>
      <c r="AD88">
        <v>35</v>
      </c>
      <c r="AE88">
        <v>70</v>
      </c>
      <c r="AF88">
        <v>35</v>
      </c>
      <c r="AG88">
        <v>24</v>
      </c>
      <c r="AH88">
        <v>24</v>
      </c>
      <c r="AI88">
        <v>42</v>
      </c>
      <c r="AJ88">
        <v>70</v>
      </c>
      <c r="AK88">
        <v>168</v>
      </c>
      <c r="AL88">
        <v>42</v>
      </c>
      <c r="AM88">
        <v>25</v>
      </c>
      <c r="AN88">
        <v>35</v>
      </c>
      <c r="AO88">
        <v>120</v>
      </c>
      <c r="AP88">
        <v>35</v>
      </c>
      <c r="AQ88">
        <v>168</v>
      </c>
      <c r="AR88">
        <v>20</v>
      </c>
      <c r="AS88">
        <v>20</v>
      </c>
      <c r="AT88">
        <v>20</v>
      </c>
      <c r="AU88">
        <v>140</v>
      </c>
      <c r="AV88">
        <v>100</v>
      </c>
      <c r="AW88">
        <v>42</v>
      </c>
      <c r="AX88">
        <v>100</v>
      </c>
      <c r="AY88">
        <v>140</v>
      </c>
      <c r="AZ88">
        <v>168</v>
      </c>
      <c r="BA88">
        <v>80</v>
      </c>
      <c r="BB88">
        <v>35</v>
      </c>
      <c r="BC88">
        <v>120</v>
      </c>
      <c r="BD88">
        <v>20</v>
      </c>
      <c r="BE88">
        <v>168</v>
      </c>
      <c r="BF88">
        <v>35</v>
      </c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</row>
    <row r="89" spans="8:108" x14ac:dyDescent="0.2">
      <c r="H89" s="64">
        <v>87</v>
      </c>
      <c r="I89">
        <v>42</v>
      </c>
      <c r="J89">
        <v>35</v>
      </c>
      <c r="K89">
        <v>24</v>
      </c>
      <c r="L89">
        <v>200</v>
      </c>
      <c r="M89">
        <v>35</v>
      </c>
      <c r="N89">
        <v>35</v>
      </c>
      <c r="O89">
        <v>42</v>
      </c>
      <c r="P89">
        <v>35</v>
      </c>
      <c r="Q89">
        <v>42</v>
      </c>
      <c r="R89">
        <v>20</v>
      </c>
      <c r="S89">
        <v>60</v>
      </c>
      <c r="T89">
        <v>42</v>
      </c>
      <c r="U89">
        <v>70</v>
      </c>
      <c r="V89">
        <v>80</v>
      </c>
      <c r="W89">
        <v>120</v>
      </c>
      <c r="X89">
        <v>20</v>
      </c>
      <c r="Y89">
        <v>120</v>
      </c>
      <c r="Z89">
        <v>24</v>
      </c>
      <c r="AA89">
        <v>42</v>
      </c>
      <c r="AB89">
        <v>140</v>
      </c>
      <c r="AC89">
        <v>100</v>
      </c>
      <c r="AD89">
        <v>42</v>
      </c>
      <c r="AE89">
        <v>20</v>
      </c>
      <c r="AF89">
        <v>35</v>
      </c>
      <c r="AG89">
        <v>42</v>
      </c>
      <c r="AH89">
        <v>42</v>
      </c>
      <c r="AI89">
        <v>30</v>
      </c>
      <c r="AJ89">
        <v>25</v>
      </c>
      <c r="AK89">
        <v>140</v>
      </c>
      <c r="AL89">
        <v>100</v>
      </c>
      <c r="AM89">
        <v>24</v>
      </c>
      <c r="AN89">
        <v>84</v>
      </c>
      <c r="AO89">
        <v>35</v>
      </c>
      <c r="AP89">
        <v>100</v>
      </c>
      <c r="AQ89">
        <v>35</v>
      </c>
      <c r="AR89">
        <v>70</v>
      </c>
      <c r="AS89">
        <v>120</v>
      </c>
      <c r="AT89">
        <v>25</v>
      </c>
      <c r="AU89">
        <v>140</v>
      </c>
      <c r="AV89">
        <v>20</v>
      </c>
      <c r="AW89">
        <v>20</v>
      </c>
      <c r="AX89">
        <v>42</v>
      </c>
      <c r="AY89">
        <v>42</v>
      </c>
      <c r="AZ89">
        <v>20</v>
      </c>
      <c r="BA89">
        <v>84</v>
      </c>
      <c r="BB89">
        <v>140</v>
      </c>
      <c r="BC89">
        <v>140</v>
      </c>
      <c r="BD89">
        <v>50</v>
      </c>
      <c r="BE89">
        <v>42</v>
      </c>
      <c r="BF89">
        <v>20</v>
      </c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6"/>
      <c r="DC89" s="26"/>
      <c r="DD89" s="26"/>
    </row>
    <row r="90" spans="8:108" x14ac:dyDescent="0.2">
      <c r="H90" s="64">
        <v>88</v>
      </c>
      <c r="I90">
        <v>20</v>
      </c>
      <c r="J90">
        <v>25</v>
      </c>
      <c r="K90">
        <v>100</v>
      </c>
      <c r="L90">
        <v>35</v>
      </c>
      <c r="M90">
        <v>30</v>
      </c>
      <c r="N90">
        <v>42</v>
      </c>
      <c r="O90">
        <v>20</v>
      </c>
      <c r="P90">
        <v>100</v>
      </c>
      <c r="Q90">
        <v>35</v>
      </c>
      <c r="R90">
        <v>140</v>
      </c>
      <c r="S90">
        <v>20</v>
      </c>
      <c r="T90">
        <v>35</v>
      </c>
      <c r="U90">
        <v>100</v>
      </c>
      <c r="V90">
        <v>80</v>
      </c>
      <c r="W90">
        <v>35</v>
      </c>
      <c r="X90">
        <v>80</v>
      </c>
      <c r="Y90">
        <v>30</v>
      </c>
      <c r="Z90">
        <v>70</v>
      </c>
      <c r="AA90">
        <v>24</v>
      </c>
      <c r="AB90">
        <v>35</v>
      </c>
      <c r="AC90">
        <v>200</v>
      </c>
      <c r="AD90">
        <v>30</v>
      </c>
      <c r="AE90">
        <v>84</v>
      </c>
      <c r="AF90">
        <v>42</v>
      </c>
      <c r="AG90">
        <v>35</v>
      </c>
      <c r="AH90">
        <v>35</v>
      </c>
      <c r="AI90">
        <v>70</v>
      </c>
      <c r="AJ90">
        <v>20</v>
      </c>
      <c r="AK90">
        <v>35</v>
      </c>
      <c r="AL90">
        <v>35</v>
      </c>
      <c r="AM90">
        <v>30</v>
      </c>
      <c r="AN90">
        <v>100</v>
      </c>
      <c r="AO90">
        <v>35</v>
      </c>
      <c r="AP90">
        <v>35</v>
      </c>
      <c r="AQ90">
        <v>35</v>
      </c>
      <c r="AR90">
        <v>140</v>
      </c>
      <c r="AS90">
        <v>20</v>
      </c>
      <c r="AT90">
        <v>35</v>
      </c>
      <c r="AU90">
        <v>200</v>
      </c>
      <c r="AV90">
        <v>80</v>
      </c>
      <c r="AW90">
        <v>80</v>
      </c>
      <c r="AX90">
        <v>25</v>
      </c>
      <c r="AY90">
        <v>42</v>
      </c>
      <c r="AZ90">
        <v>24</v>
      </c>
      <c r="BA90">
        <v>30</v>
      </c>
      <c r="BB90">
        <v>60</v>
      </c>
      <c r="BC90">
        <v>240</v>
      </c>
      <c r="BD90">
        <v>20</v>
      </c>
      <c r="BE90">
        <v>120</v>
      </c>
      <c r="BF90">
        <v>80</v>
      </c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</row>
    <row r="91" spans="8:108" x14ac:dyDescent="0.2">
      <c r="H91" s="64">
        <v>89</v>
      </c>
      <c r="I91">
        <v>80</v>
      </c>
      <c r="J91">
        <v>70</v>
      </c>
      <c r="K91">
        <v>42</v>
      </c>
      <c r="L91">
        <v>25</v>
      </c>
      <c r="M91">
        <v>35</v>
      </c>
      <c r="N91">
        <v>35</v>
      </c>
      <c r="O91">
        <v>35</v>
      </c>
      <c r="P91">
        <v>35</v>
      </c>
      <c r="Q91">
        <v>20</v>
      </c>
      <c r="R91">
        <v>100</v>
      </c>
      <c r="S91">
        <v>42</v>
      </c>
      <c r="T91">
        <v>100</v>
      </c>
      <c r="U91">
        <v>140</v>
      </c>
      <c r="V91">
        <v>35</v>
      </c>
      <c r="W91">
        <v>140</v>
      </c>
      <c r="X91">
        <v>25</v>
      </c>
      <c r="Y91">
        <v>35</v>
      </c>
      <c r="Z91">
        <v>35</v>
      </c>
      <c r="AA91">
        <v>35</v>
      </c>
      <c r="AB91">
        <v>70</v>
      </c>
      <c r="AC91">
        <v>24</v>
      </c>
      <c r="AD91">
        <v>35</v>
      </c>
      <c r="AE91">
        <v>25</v>
      </c>
      <c r="AF91">
        <v>120</v>
      </c>
      <c r="AG91">
        <v>140</v>
      </c>
      <c r="AH91">
        <v>140</v>
      </c>
      <c r="AI91">
        <v>120</v>
      </c>
      <c r="AJ91">
        <v>24</v>
      </c>
      <c r="AK91">
        <v>20</v>
      </c>
      <c r="AL91">
        <v>20</v>
      </c>
      <c r="AM91">
        <v>100</v>
      </c>
      <c r="AN91">
        <v>140</v>
      </c>
      <c r="AO91">
        <v>35</v>
      </c>
      <c r="AP91">
        <v>100</v>
      </c>
      <c r="AQ91">
        <v>20</v>
      </c>
      <c r="AR91">
        <v>100</v>
      </c>
      <c r="AS91">
        <v>200</v>
      </c>
      <c r="AT91">
        <v>80</v>
      </c>
      <c r="AU91">
        <v>84</v>
      </c>
      <c r="AV91">
        <v>50</v>
      </c>
      <c r="AW91">
        <v>24</v>
      </c>
      <c r="AX91">
        <v>140</v>
      </c>
      <c r="AY91">
        <v>35</v>
      </c>
      <c r="AZ91">
        <v>120</v>
      </c>
      <c r="BA91">
        <v>20</v>
      </c>
      <c r="BB91">
        <v>24</v>
      </c>
      <c r="BC91">
        <v>42</v>
      </c>
      <c r="BD91">
        <v>24</v>
      </c>
      <c r="BE91">
        <v>120</v>
      </c>
      <c r="BF91">
        <v>25</v>
      </c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26"/>
      <c r="DC91" s="26"/>
      <c r="DD91" s="26"/>
    </row>
    <row r="92" spans="8:108" x14ac:dyDescent="0.2">
      <c r="H92" s="64">
        <v>90</v>
      </c>
      <c r="I92">
        <v>100</v>
      </c>
      <c r="J92">
        <v>35</v>
      </c>
      <c r="K92">
        <v>42</v>
      </c>
      <c r="L92">
        <v>35</v>
      </c>
      <c r="M92">
        <v>70</v>
      </c>
      <c r="N92">
        <v>25</v>
      </c>
      <c r="O92">
        <v>100</v>
      </c>
      <c r="P92">
        <v>35</v>
      </c>
      <c r="Q92">
        <v>120</v>
      </c>
      <c r="R92">
        <v>42</v>
      </c>
      <c r="S92">
        <v>20</v>
      </c>
      <c r="T92">
        <v>25</v>
      </c>
      <c r="U92">
        <v>35</v>
      </c>
      <c r="V92">
        <v>35</v>
      </c>
      <c r="W92">
        <v>42</v>
      </c>
      <c r="X92">
        <v>30</v>
      </c>
      <c r="Y92">
        <v>35</v>
      </c>
      <c r="Z92">
        <v>42</v>
      </c>
      <c r="AA92">
        <v>25</v>
      </c>
      <c r="AB92">
        <v>35</v>
      </c>
      <c r="AC92">
        <v>20</v>
      </c>
      <c r="AD92">
        <v>120</v>
      </c>
      <c r="AE92">
        <v>168</v>
      </c>
      <c r="AF92">
        <v>25</v>
      </c>
      <c r="AG92">
        <v>120</v>
      </c>
      <c r="AH92">
        <v>168</v>
      </c>
      <c r="AI92">
        <v>20</v>
      </c>
      <c r="AJ92">
        <v>35</v>
      </c>
      <c r="AK92">
        <v>140</v>
      </c>
      <c r="AL92">
        <v>24</v>
      </c>
      <c r="AM92">
        <v>100</v>
      </c>
      <c r="AN92">
        <v>168</v>
      </c>
      <c r="AO92">
        <v>35</v>
      </c>
      <c r="AP92">
        <v>20</v>
      </c>
      <c r="AQ92">
        <v>100</v>
      </c>
      <c r="AR92">
        <v>80</v>
      </c>
      <c r="AS92">
        <v>25</v>
      </c>
      <c r="AT92">
        <v>200</v>
      </c>
      <c r="AU92">
        <v>70</v>
      </c>
      <c r="AV92">
        <v>25</v>
      </c>
      <c r="AW92">
        <v>35</v>
      </c>
      <c r="AX92">
        <v>35</v>
      </c>
      <c r="AY92">
        <v>24</v>
      </c>
      <c r="AZ92">
        <v>120</v>
      </c>
      <c r="BA92">
        <v>100</v>
      </c>
      <c r="BB92">
        <v>100</v>
      </c>
      <c r="BC92">
        <v>35</v>
      </c>
      <c r="BD92">
        <v>35</v>
      </c>
      <c r="BE92">
        <v>30</v>
      </c>
      <c r="BF92">
        <v>20</v>
      </c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</row>
    <row r="93" spans="8:108" x14ac:dyDescent="0.2">
      <c r="H93" s="64">
        <v>91</v>
      </c>
      <c r="I93">
        <v>140</v>
      </c>
      <c r="J93">
        <v>168</v>
      </c>
      <c r="K93">
        <v>70</v>
      </c>
      <c r="L93">
        <v>35</v>
      </c>
      <c r="M93">
        <v>25</v>
      </c>
      <c r="N93">
        <v>140</v>
      </c>
      <c r="O93">
        <v>24</v>
      </c>
      <c r="P93">
        <v>35</v>
      </c>
      <c r="Q93">
        <v>35</v>
      </c>
      <c r="R93">
        <v>35</v>
      </c>
      <c r="S93">
        <v>120</v>
      </c>
      <c r="T93">
        <v>35</v>
      </c>
      <c r="U93">
        <v>25</v>
      </c>
      <c r="V93">
        <v>30</v>
      </c>
      <c r="W93">
        <v>100</v>
      </c>
      <c r="X93">
        <v>84</v>
      </c>
      <c r="Y93">
        <v>35</v>
      </c>
      <c r="Z93">
        <v>35</v>
      </c>
      <c r="AA93">
        <v>24</v>
      </c>
      <c r="AB93">
        <v>25</v>
      </c>
      <c r="AC93">
        <v>200</v>
      </c>
      <c r="AD93">
        <v>35</v>
      </c>
      <c r="AE93">
        <v>25</v>
      </c>
      <c r="AF93">
        <v>30</v>
      </c>
      <c r="AG93">
        <v>25</v>
      </c>
      <c r="AH93">
        <v>20</v>
      </c>
      <c r="AI93">
        <v>42</v>
      </c>
      <c r="AJ93">
        <v>35</v>
      </c>
      <c r="AK93">
        <v>30</v>
      </c>
      <c r="AL93">
        <v>25</v>
      </c>
      <c r="AM93">
        <v>42</v>
      </c>
      <c r="AN93">
        <v>42</v>
      </c>
      <c r="AO93">
        <v>120</v>
      </c>
      <c r="AP93">
        <v>80</v>
      </c>
      <c r="AQ93">
        <v>35</v>
      </c>
      <c r="AR93">
        <v>100</v>
      </c>
      <c r="AS93">
        <v>35</v>
      </c>
      <c r="AT93">
        <v>100</v>
      </c>
      <c r="AU93">
        <v>24</v>
      </c>
      <c r="AV93">
        <v>20</v>
      </c>
      <c r="AW93">
        <v>96</v>
      </c>
      <c r="AX93">
        <v>100</v>
      </c>
      <c r="AY93">
        <v>35</v>
      </c>
      <c r="AZ93">
        <v>168</v>
      </c>
      <c r="BA93">
        <v>42</v>
      </c>
      <c r="BB93">
        <v>120</v>
      </c>
      <c r="BC93">
        <v>20</v>
      </c>
      <c r="BD93">
        <v>20</v>
      </c>
      <c r="BE93">
        <v>35</v>
      </c>
      <c r="BF93">
        <v>96</v>
      </c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</row>
    <row r="94" spans="8:108" x14ac:dyDescent="0.2">
      <c r="H94" s="64">
        <v>92</v>
      </c>
      <c r="I94">
        <v>35</v>
      </c>
      <c r="J94">
        <v>35</v>
      </c>
      <c r="K94">
        <v>120</v>
      </c>
      <c r="L94">
        <v>20</v>
      </c>
      <c r="M94">
        <v>25</v>
      </c>
      <c r="N94">
        <v>30</v>
      </c>
      <c r="O94">
        <v>20</v>
      </c>
      <c r="P94">
        <v>20</v>
      </c>
      <c r="Q94">
        <v>25</v>
      </c>
      <c r="R94">
        <v>25</v>
      </c>
      <c r="S94">
        <v>35</v>
      </c>
      <c r="T94">
        <v>35</v>
      </c>
      <c r="U94">
        <v>42</v>
      </c>
      <c r="V94">
        <v>100</v>
      </c>
      <c r="W94">
        <v>120</v>
      </c>
      <c r="X94">
        <v>80</v>
      </c>
      <c r="Y94">
        <v>35</v>
      </c>
      <c r="Z94">
        <v>70</v>
      </c>
      <c r="AA94">
        <v>96</v>
      </c>
      <c r="AB94">
        <v>20</v>
      </c>
      <c r="AC94">
        <v>80</v>
      </c>
      <c r="AD94">
        <v>30</v>
      </c>
      <c r="AE94">
        <v>42</v>
      </c>
      <c r="AF94">
        <v>35</v>
      </c>
      <c r="AG94">
        <v>42</v>
      </c>
      <c r="AH94">
        <v>30</v>
      </c>
      <c r="AI94">
        <v>35</v>
      </c>
      <c r="AJ94">
        <v>24</v>
      </c>
      <c r="AK94">
        <v>70</v>
      </c>
      <c r="AL94">
        <v>80</v>
      </c>
      <c r="AM94">
        <v>42</v>
      </c>
      <c r="AN94">
        <v>42</v>
      </c>
      <c r="AO94">
        <v>200</v>
      </c>
      <c r="AP94">
        <v>70</v>
      </c>
      <c r="AQ94">
        <v>24</v>
      </c>
      <c r="AR94">
        <v>100</v>
      </c>
      <c r="AS94">
        <v>96</v>
      </c>
      <c r="AT94">
        <v>42</v>
      </c>
      <c r="AU94">
        <v>35</v>
      </c>
      <c r="AV94">
        <v>100</v>
      </c>
      <c r="AW94">
        <v>24</v>
      </c>
      <c r="AX94">
        <v>120</v>
      </c>
      <c r="AY94">
        <v>100</v>
      </c>
      <c r="AZ94">
        <v>25</v>
      </c>
      <c r="BA94">
        <v>35</v>
      </c>
      <c r="BB94">
        <v>20</v>
      </c>
      <c r="BC94">
        <v>25</v>
      </c>
      <c r="BD94">
        <v>25</v>
      </c>
      <c r="BE94">
        <v>24</v>
      </c>
      <c r="BF94">
        <v>35</v>
      </c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</row>
    <row r="95" spans="8:108" x14ac:dyDescent="0.2">
      <c r="H95" s="64">
        <v>93</v>
      </c>
      <c r="I95">
        <v>100</v>
      </c>
      <c r="J95">
        <v>35</v>
      </c>
      <c r="K95">
        <v>24</v>
      </c>
      <c r="L95">
        <v>96</v>
      </c>
      <c r="M95">
        <v>35</v>
      </c>
      <c r="N95">
        <v>20</v>
      </c>
      <c r="O95">
        <v>70</v>
      </c>
      <c r="P95">
        <v>35</v>
      </c>
      <c r="Q95">
        <v>24</v>
      </c>
      <c r="R95">
        <v>42</v>
      </c>
      <c r="S95">
        <v>100</v>
      </c>
      <c r="T95">
        <v>120</v>
      </c>
      <c r="U95">
        <v>20</v>
      </c>
      <c r="V95">
        <v>70</v>
      </c>
      <c r="W95">
        <v>42</v>
      </c>
      <c r="X95">
        <v>35</v>
      </c>
      <c r="Y95">
        <v>80</v>
      </c>
      <c r="Z95">
        <v>35</v>
      </c>
      <c r="AA95">
        <v>35</v>
      </c>
      <c r="AB95">
        <v>120</v>
      </c>
      <c r="AC95">
        <v>20</v>
      </c>
      <c r="AD95">
        <v>30</v>
      </c>
      <c r="AE95">
        <v>84</v>
      </c>
      <c r="AF95">
        <v>50</v>
      </c>
      <c r="AG95">
        <v>80</v>
      </c>
      <c r="AH95">
        <v>96</v>
      </c>
      <c r="AI95">
        <v>42</v>
      </c>
      <c r="AJ95">
        <v>80</v>
      </c>
      <c r="AK95">
        <v>96</v>
      </c>
      <c r="AL95">
        <v>42</v>
      </c>
      <c r="AM95">
        <v>20</v>
      </c>
      <c r="AN95">
        <v>70</v>
      </c>
      <c r="AO95">
        <v>25</v>
      </c>
      <c r="AP95">
        <v>168</v>
      </c>
      <c r="AQ95">
        <v>35</v>
      </c>
      <c r="AR95">
        <v>20</v>
      </c>
      <c r="AS95">
        <v>35</v>
      </c>
      <c r="AT95">
        <v>140</v>
      </c>
      <c r="AU95">
        <v>96</v>
      </c>
      <c r="AV95">
        <v>100</v>
      </c>
      <c r="AW95">
        <v>35</v>
      </c>
      <c r="AX95">
        <v>100</v>
      </c>
      <c r="AY95">
        <v>24</v>
      </c>
      <c r="AZ95">
        <v>42</v>
      </c>
      <c r="BA95">
        <v>35</v>
      </c>
      <c r="BB95">
        <v>120</v>
      </c>
      <c r="BC95">
        <v>100</v>
      </c>
      <c r="BD95">
        <v>70</v>
      </c>
      <c r="BE95">
        <v>35</v>
      </c>
      <c r="BF95">
        <v>24</v>
      </c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</row>
    <row r="96" spans="8:108" x14ac:dyDescent="0.2">
      <c r="H96" s="64">
        <v>94</v>
      </c>
      <c r="I96">
        <v>80</v>
      </c>
      <c r="J96">
        <v>168</v>
      </c>
      <c r="K96">
        <v>140</v>
      </c>
      <c r="L96">
        <v>20</v>
      </c>
      <c r="M96">
        <v>20</v>
      </c>
      <c r="N96">
        <v>84</v>
      </c>
      <c r="O96">
        <v>100</v>
      </c>
      <c r="P96">
        <v>120</v>
      </c>
      <c r="Q96">
        <v>24</v>
      </c>
      <c r="R96">
        <v>20</v>
      </c>
      <c r="S96">
        <v>20</v>
      </c>
      <c r="T96">
        <v>42</v>
      </c>
      <c r="U96">
        <v>120</v>
      </c>
      <c r="V96">
        <v>42</v>
      </c>
      <c r="W96">
        <v>35</v>
      </c>
      <c r="X96">
        <v>35</v>
      </c>
      <c r="Y96">
        <v>35</v>
      </c>
      <c r="Z96">
        <v>70</v>
      </c>
      <c r="AA96">
        <v>24</v>
      </c>
      <c r="AB96">
        <v>200</v>
      </c>
      <c r="AC96">
        <v>24</v>
      </c>
      <c r="AD96">
        <v>100</v>
      </c>
      <c r="AE96">
        <v>35</v>
      </c>
      <c r="AF96">
        <v>96</v>
      </c>
      <c r="AG96">
        <v>35</v>
      </c>
      <c r="AH96">
        <v>42</v>
      </c>
      <c r="AI96">
        <v>100</v>
      </c>
      <c r="AJ96">
        <v>80</v>
      </c>
      <c r="AK96">
        <v>24</v>
      </c>
      <c r="AL96">
        <v>25</v>
      </c>
      <c r="AM96">
        <v>20</v>
      </c>
      <c r="AN96">
        <v>42</v>
      </c>
      <c r="AO96">
        <v>35</v>
      </c>
      <c r="AP96">
        <v>42</v>
      </c>
      <c r="AQ96">
        <v>20</v>
      </c>
      <c r="AR96">
        <v>120</v>
      </c>
      <c r="AS96">
        <v>20</v>
      </c>
      <c r="AT96">
        <v>25</v>
      </c>
      <c r="AU96">
        <v>70</v>
      </c>
      <c r="AV96">
        <v>100</v>
      </c>
      <c r="AW96">
        <v>35</v>
      </c>
      <c r="AX96">
        <v>35</v>
      </c>
      <c r="AY96">
        <v>84</v>
      </c>
      <c r="AZ96">
        <v>30</v>
      </c>
      <c r="BA96">
        <v>42</v>
      </c>
      <c r="BB96">
        <v>20</v>
      </c>
      <c r="BC96">
        <v>35</v>
      </c>
      <c r="BD96">
        <v>80</v>
      </c>
      <c r="BE96">
        <v>35</v>
      </c>
      <c r="BF96">
        <v>35</v>
      </c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</row>
    <row r="97" spans="8:108" x14ac:dyDescent="0.2">
      <c r="H97" s="64">
        <v>95</v>
      </c>
      <c r="I97">
        <v>140</v>
      </c>
      <c r="J97">
        <v>42</v>
      </c>
      <c r="K97">
        <v>100</v>
      </c>
      <c r="L97">
        <v>84</v>
      </c>
      <c r="M97">
        <v>24</v>
      </c>
      <c r="N97">
        <v>42</v>
      </c>
      <c r="O97">
        <v>24</v>
      </c>
      <c r="P97">
        <v>60</v>
      </c>
      <c r="Q97">
        <v>30</v>
      </c>
      <c r="R97">
        <v>24</v>
      </c>
      <c r="S97">
        <v>25</v>
      </c>
      <c r="T97">
        <v>60</v>
      </c>
      <c r="U97">
        <v>20</v>
      </c>
      <c r="V97">
        <v>168</v>
      </c>
      <c r="W97">
        <v>42</v>
      </c>
      <c r="X97">
        <v>84</v>
      </c>
      <c r="Y97">
        <v>70</v>
      </c>
      <c r="Z97">
        <v>30</v>
      </c>
      <c r="AA97">
        <v>25</v>
      </c>
      <c r="AB97">
        <v>96</v>
      </c>
      <c r="AC97">
        <v>25</v>
      </c>
      <c r="AD97">
        <v>60</v>
      </c>
      <c r="AE97">
        <v>35</v>
      </c>
      <c r="AF97">
        <v>24</v>
      </c>
      <c r="AG97">
        <v>24</v>
      </c>
      <c r="AH97">
        <v>100</v>
      </c>
      <c r="AI97">
        <v>100</v>
      </c>
      <c r="AJ97">
        <v>120</v>
      </c>
      <c r="AK97">
        <v>35</v>
      </c>
      <c r="AL97">
        <v>120</v>
      </c>
      <c r="AM97">
        <v>80</v>
      </c>
      <c r="AN97">
        <v>35</v>
      </c>
      <c r="AO97">
        <v>100</v>
      </c>
      <c r="AP97">
        <v>42</v>
      </c>
      <c r="AQ97">
        <v>50</v>
      </c>
      <c r="AR97">
        <v>120</v>
      </c>
      <c r="AS97">
        <v>24</v>
      </c>
      <c r="AT97">
        <v>140</v>
      </c>
      <c r="AU97">
        <v>42</v>
      </c>
      <c r="AV97">
        <v>35</v>
      </c>
      <c r="AW97">
        <v>35</v>
      </c>
      <c r="AX97">
        <v>20</v>
      </c>
      <c r="AY97">
        <v>25</v>
      </c>
      <c r="AZ97">
        <v>120</v>
      </c>
      <c r="BA97">
        <v>80</v>
      </c>
      <c r="BB97">
        <v>100</v>
      </c>
      <c r="BC97">
        <v>20</v>
      </c>
      <c r="BD97">
        <v>120</v>
      </c>
      <c r="BE97">
        <v>35</v>
      </c>
      <c r="BF97">
        <v>80</v>
      </c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  <c r="DA97" s="26"/>
      <c r="DB97" s="26"/>
      <c r="DC97" s="26"/>
      <c r="DD97" s="26"/>
    </row>
    <row r="98" spans="8:108" x14ac:dyDescent="0.2">
      <c r="H98" s="64">
        <v>96</v>
      </c>
      <c r="I98">
        <v>20</v>
      </c>
      <c r="J98">
        <v>20</v>
      </c>
      <c r="K98">
        <v>20</v>
      </c>
      <c r="L98">
        <v>20</v>
      </c>
      <c r="M98">
        <v>200</v>
      </c>
      <c r="N98">
        <v>35</v>
      </c>
      <c r="O98">
        <v>80</v>
      </c>
      <c r="P98">
        <v>25</v>
      </c>
      <c r="Q98">
        <v>20</v>
      </c>
      <c r="R98">
        <v>80</v>
      </c>
      <c r="S98">
        <v>84</v>
      </c>
      <c r="T98">
        <v>70</v>
      </c>
      <c r="U98">
        <v>35</v>
      </c>
      <c r="V98">
        <v>25</v>
      </c>
      <c r="W98">
        <v>140</v>
      </c>
      <c r="X98">
        <v>30</v>
      </c>
      <c r="Y98">
        <v>120</v>
      </c>
      <c r="Z98">
        <v>42</v>
      </c>
      <c r="AA98">
        <v>200</v>
      </c>
      <c r="AB98">
        <v>35</v>
      </c>
      <c r="AC98">
        <v>84</v>
      </c>
      <c r="AD98">
        <v>25</v>
      </c>
      <c r="AE98">
        <v>80</v>
      </c>
      <c r="AF98">
        <v>20</v>
      </c>
      <c r="AG98">
        <v>96</v>
      </c>
      <c r="AH98">
        <v>70</v>
      </c>
      <c r="AI98">
        <v>42</v>
      </c>
      <c r="AJ98">
        <v>42</v>
      </c>
      <c r="AK98">
        <v>200</v>
      </c>
      <c r="AL98">
        <v>20</v>
      </c>
      <c r="AM98">
        <v>42</v>
      </c>
      <c r="AN98">
        <v>35</v>
      </c>
      <c r="AO98">
        <v>20</v>
      </c>
      <c r="AP98">
        <v>42</v>
      </c>
      <c r="AQ98">
        <v>120</v>
      </c>
      <c r="AR98">
        <v>140</v>
      </c>
      <c r="AS98">
        <v>35</v>
      </c>
      <c r="AT98">
        <v>42</v>
      </c>
      <c r="AU98">
        <v>80</v>
      </c>
      <c r="AV98">
        <v>25</v>
      </c>
      <c r="AW98">
        <v>24</v>
      </c>
      <c r="AX98">
        <v>20</v>
      </c>
      <c r="AY98">
        <v>35</v>
      </c>
      <c r="AZ98">
        <v>140</v>
      </c>
      <c r="BA98">
        <v>96</v>
      </c>
      <c r="BB98">
        <v>42</v>
      </c>
      <c r="BC98">
        <v>35</v>
      </c>
      <c r="BD98">
        <v>35</v>
      </c>
      <c r="BE98">
        <v>80</v>
      </c>
      <c r="BF98">
        <v>168</v>
      </c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</row>
    <row r="99" spans="8:108" x14ac:dyDescent="0.2">
      <c r="H99" s="64">
        <v>97</v>
      </c>
      <c r="I99">
        <v>50</v>
      </c>
      <c r="J99">
        <v>20</v>
      </c>
      <c r="K99">
        <v>25</v>
      </c>
      <c r="L99">
        <v>25</v>
      </c>
      <c r="M99">
        <v>20</v>
      </c>
      <c r="N99">
        <v>42</v>
      </c>
      <c r="O99">
        <v>42</v>
      </c>
      <c r="P99">
        <v>42</v>
      </c>
      <c r="Q99">
        <v>120</v>
      </c>
      <c r="R99">
        <v>35</v>
      </c>
      <c r="S99">
        <v>42</v>
      </c>
      <c r="T99">
        <v>42</v>
      </c>
      <c r="U99">
        <v>24</v>
      </c>
      <c r="V99">
        <v>120</v>
      </c>
      <c r="W99">
        <v>42</v>
      </c>
      <c r="X99">
        <v>35</v>
      </c>
      <c r="Y99">
        <v>35</v>
      </c>
      <c r="Z99">
        <v>60</v>
      </c>
      <c r="AA99">
        <v>42</v>
      </c>
      <c r="AB99">
        <v>80</v>
      </c>
      <c r="AC99">
        <v>20</v>
      </c>
      <c r="AD99">
        <v>30</v>
      </c>
      <c r="AE99">
        <v>96</v>
      </c>
      <c r="AF99">
        <v>120</v>
      </c>
      <c r="AG99">
        <v>70</v>
      </c>
      <c r="AH99">
        <v>140</v>
      </c>
      <c r="AI99">
        <v>84</v>
      </c>
      <c r="AJ99">
        <v>120</v>
      </c>
      <c r="AK99">
        <v>25</v>
      </c>
      <c r="AL99">
        <v>35</v>
      </c>
      <c r="AM99">
        <v>35</v>
      </c>
      <c r="AN99">
        <v>30</v>
      </c>
      <c r="AO99">
        <v>25</v>
      </c>
      <c r="AP99">
        <v>168</v>
      </c>
      <c r="AQ99">
        <v>42</v>
      </c>
      <c r="AR99">
        <v>25</v>
      </c>
      <c r="AS99">
        <v>96</v>
      </c>
      <c r="AT99">
        <v>100</v>
      </c>
      <c r="AU99">
        <v>120</v>
      </c>
      <c r="AV99">
        <v>42</v>
      </c>
      <c r="AW99">
        <v>20</v>
      </c>
      <c r="AX99">
        <v>42</v>
      </c>
      <c r="AY99">
        <v>24</v>
      </c>
      <c r="AZ99">
        <v>100</v>
      </c>
      <c r="BA99">
        <v>20</v>
      </c>
      <c r="BB99">
        <v>25</v>
      </c>
      <c r="BC99">
        <v>140</v>
      </c>
      <c r="BD99">
        <v>120</v>
      </c>
      <c r="BE99">
        <v>240</v>
      </c>
      <c r="BF99">
        <v>140</v>
      </c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</row>
    <row r="100" spans="8:108" x14ac:dyDescent="0.2">
      <c r="H100" s="64">
        <v>98</v>
      </c>
      <c r="I100">
        <v>200</v>
      </c>
      <c r="J100">
        <v>35</v>
      </c>
      <c r="K100">
        <v>35</v>
      </c>
      <c r="L100">
        <v>20</v>
      </c>
      <c r="M100">
        <v>30</v>
      </c>
      <c r="N100">
        <v>80</v>
      </c>
      <c r="O100">
        <v>80</v>
      </c>
      <c r="P100">
        <v>80</v>
      </c>
      <c r="Q100">
        <v>30</v>
      </c>
      <c r="R100">
        <v>25</v>
      </c>
      <c r="S100">
        <v>20</v>
      </c>
      <c r="T100">
        <v>120</v>
      </c>
      <c r="U100">
        <v>100</v>
      </c>
      <c r="V100">
        <v>24</v>
      </c>
      <c r="W100">
        <v>100</v>
      </c>
      <c r="X100">
        <v>24</v>
      </c>
      <c r="Y100">
        <v>80</v>
      </c>
      <c r="Z100">
        <v>24</v>
      </c>
      <c r="AA100">
        <v>100</v>
      </c>
      <c r="AB100">
        <v>168</v>
      </c>
      <c r="AC100">
        <v>120</v>
      </c>
      <c r="AD100">
        <v>35</v>
      </c>
      <c r="AE100">
        <v>25</v>
      </c>
      <c r="AF100">
        <v>20</v>
      </c>
      <c r="AG100">
        <v>140</v>
      </c>
      <c r="AH100">
        <v>240</v>
      </c>
      <c r="AI100">
        <v>20</v>
      </c>
      <c r="AJ100">
        <v>100</v>
      </c>
      <c r="AK100">
        <v>100</v>
      </c>
      <c r="AL100">
        <v>168</v>
      </c>
      <c r="AM100">
        <v>35</v>
      </c>
      <c r="AN100">
        <v>24</v>
      </c>
      <c r="AO100">
        <v>24</v>
      </c>
      <c r="AP100">
        <v>25</v>
      </c>
      <c r="AQ100">
        <v>24</v>
      </c>
      <c r="AR100">
        <v>140</v>
      </c>
      <c r="AS100">
        <v>20</v>
      </c>
      <c r="AT100">
        <v>140</v>
      </c>
      <c r="AU100">
        <v>42</v>
      </c>
      <c r="AV100">
        <v>100</v>
      </c>
      <c r="AW100">
        <v>35</v>
      </c>
      <c r="AX100">
        <v>42</v>
      </c>
      <c r="AY100">
        <v>42</v>
      </c>
      <c r="AZ100">
        <v>96</v>
      </c>
      <c r="BA100">
        <v>20</v>
      </c>
      <c r="BB100">
        <v>30</v>
      </c>
      <c r="BC100">
        <v>80</v>
      </c>
      <c r="BD100">
        <v>35</v>
      </c>
      <c r="BE100">
        <v>120</v>
      </c>
      <c r="BF100">
        <v>25</v>
      </c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</row>
    <row r="101" spans="8:108" x14ac:dyDescent="0.2">
      <c r="H101" s="64">
        <v>99</v>
      </c>
      <c r="I101">
        <v>35</v>
      </c>
      <c r="J101">
        <v>140</v>
      </c>
      <c r="K101">
        <v>100</v>
      </c>
      <c r="L101">
        <v>42</v>
      </c>
      <c r="M101">
        <v>20</v>
      </c>
      <c r="N101">
        <v>20</v>
      </c>
      <c r="O101">
        <v>20</v>
      </c>
      <c r="P101">
        <v>25</v>
      </c>
      <c r="Q101">
        <v>20</v>
      </c>
      <c r="R101">
        <v>100</v>
      </c>
      <c r="S101">
        <v>42</v>
      </c>
      <c r="T101">
        <v>100</v>
      </c>
      <c r="U101">
        <v>25</v>
      </c>
      <c r="V101">
        <v>35</v>
      </c>
      <c r="W101">
        <v>25</v>
      </c>
      <c r="X101">
        <v>24</v>
      </c>
      <c r="Y101">
        <v>80</v>
      </c>
      <c r="Z101">
        <v>20</v>
      </c>
      <c r="AA101">
        <v>20</v>
      </c>
      <c r="AB101">
        <v>35</v>
      </c>
      <c r="AC101">
        <v>35</v>
      </c>
      <c r="AD101">
        <v>30</v>
      </c>
      <c r="AE101">
        <v>168</v>
      </c>
      <c r="AF101">
        <v>35</v>
      </c>
      <c r="AG101">
        <v>25</v>
      </c>
      <c r="AH101">
        <v>70</v>
      </c>
      <c r="AI101">
        <v>100</v>
      </c>
      <c r="AJ101">
        <v>96</v>
      </c>
      <c r="AK101">
        <v>25</v>
      </c>
      <c r="AL101">
        <v>24</v>
      </c>
      <c r="AM101">
        <v>20</v>
      </c>
      <c r="AN101">
        <v>84</v>
      </c>
      <c r="AO101">
        <v>24</v>
      </c>
      <c r="AP101">
        <v>200</v>
      </c>
      <c r="AQ101">
        <v>100</v>
      </c>
      <c r="AR101">
        <v>24</v>
      </c>
      <c r="AS101">
        <v>35</v>
      </c>
      <c r="AT101">
        <v>30</v>
      </c>
      <c r="AU101">
        <v>30</v>
      </c>
      <c r="AV101">
        <v>100</v>
      </c>
      <c r="AW101">
        <v>35</v>
      </c>
      <c r="AX101">
        <v>25</v>
      </c>
      <c r="AY101">
        <v>25</v>
      </c>
      <c r="AZ101">
        <v>84</v>
      </c>
      <c r="BA101">
        <v>70</v>
      </c>
      <c r="BB101">
        <v>35</v>
      </c>
      <c r="BC101">
        <v>96</v>
      </c>
      <c r="BD101">
        <v>70</v>
      </c>
      <c r="BE101">
        <v>42</v>
      </c>
      <c r="BF101">
        <v>35</v>
      </c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</row>
    <row r="102" spans="8:108" x14ac:dyDescent="0.2">
      <c r="H102" s="64">
        <v>100</v>
      </c>
      <c r="I102" s="4">
        <v>168</v>
      </c>
      <c r="J102" s="4">
        <v>24</v>
      </c>
      <c r="K102" s="4">
        <v>140</v>
      </c>
      <c r="L102" s="4">
        <v>35</v>
      </c>
      <c r="M102" s="4">
        <v>24</v>
      </c>
      <c r="N102" s="4">
        <v>100</v>
      </c>
      <c r="O102" s="4">
        <v>70</v>
      </c>
      <c r="P102" s="4">
        <v>35</v>
      </c>
      <c r="Q102" s="4">
        <v>20</v>
      </c>
      <c r="R102" s="4">
        <v>168</v>
      </c>
      <c r="S102" s="4">
        <v>100</v>
      </c>
      <c r="T102" s="4">
        <v>84</v>
      </c>
      <c r="U102" s="4">
        <v>100</v>
      </c>
      <c r="V102" s="4">
        <v>140</v>
      </c>
      <c r="W102" s="4">
        <v>35</v>
      </c>
      <c r="X102" s="4">
        <v>35</v>
      </c>
      <c r="Y102" s="4">
        <v>42</v>
      </c>
      <c r="Z102" s="4">
        <v>100</v>
      </c>
      <c r="AA102" s="4">
        <v>20</v>
      </c>
      <c r="AB102" s="4">
        <v>240</v>
      </c>
      <c r="AC102" s="4">
        <v>168</v>
      </c>
      <c r="AD102" s="4">
        <v>100</v>
      </c>
      <c r="AE102" s="4">
        <v>35</v>
      </c>
      <c r="AF102" s="4">
        <v>35</v>
      </c>
      <c r="AG102" s="4">
        <v>168</v>
      </c>
      <c r="AH102" s="4">
        <v>24</v>
      </c>
      <c r="AI102" s="4">
        <v>200</v>
      </c>
      <c r="AJ102" s="4">
        <v>42</v>
      </c>
      <c r="AK102" s="4">
        <v>42</v>
      </c>
      <c r="AL102" s="4">
        <v>70</v>
      </c>
      <c r="AM102" s="4">
        <v>80</v>
      </c>
      <c r="AN102" s="4">
        <v>42</v>
      </c>
      <c r="AO102" s="4">
        <v>24</v>
      </c>
      <c r="AP102" s="4">
        <v>35</v>
      </c>
      <c r="AQ102" s="4">
        <v>35</v>
      </c>
      <c r="AR102" s="4">
        <v>35</v>
      </c>
      <c r="AS102" s="4">
        <v>70</v>
      </c>
      <c r="AT102" s="4">
        <v>20</v>
      </c>
      <c r="AU102" s="4">
        <v>35</v>
      </c>
      <c r="AV102" s="4">
        <v>25</v>
      </c>
      <c r="AW102" s="4">
        <v>42</v>
      </c>
      <c r="AX102" s="4">
        <v>96</v>
      </c>
      <c r="AY102" s="4">
        <v>35</v>
      </c>
      <c r="AZ102" s="4">
        <v>42</v>
      </c>
      <c r="BA102" s="4">
        <v>100</v>
      </c>
      <c r="BB102" s="4">
        <v>42</v>
      </c>
      <c r="BC102" s="4">
        <v>30</v>
      </c>
      <c r="BD102" s="4">
        <v>20</v>
      </c>
      <c r="BE102" s="4">
        <v>35</v>
      </c>
      <c r="BF102" s="4">
        <v>42</v>
      </c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</row>
    <row r="103" spans="8:108" x14ac:dyDescent="0.2">
      <c r="H103" s="65" t="s">
        <v>70</v>
      </c>
      <c r="I103" s="66">
        <f>SUM(I3:I102)</f>
        <v>7494</v>
      </c>
      <c r="J103" s="66">
        <f t="shared" ref="J103:BF103" si="1">SUM(J3:J102)</f>
        <v>6431</v>
      </c>
      <c r="K103" s="66">
        <f t="shared" si="1"/>
        <v>5882</v>
      </c>
      <c r="L103" s="66">
        <f t="shared" si="1"/>
        <v>6500</v>
      </c>
      <c r="M103" s="66">
        <f t="shared" si="1"/>
        <v>6089</v>
      </c>
      <c r="N103" s="66">
        <f t="shared" si="1"/>
        <v>6833</v>
      </c>
      <c r="O103" s="66">
        <f t="shared" si="1"/>
        <v>6556</v>
      </c>
      <c r="P103" s="66">
        <f t="shared" si="1"/>
        <v>6701</v>
      </c>
      <c r="Q103" s="66">
        <f t="shared" si="1"/>
        <v>6397</v>
      </c>
      <c r="R103" s="66">
        <f t="shared" si="1"/>
        <v>6342</v>
      </c>
      <c r="S103" s="66">
        <f t="shared" si="1"/>
        <v>6257</v>
      </c>
      <c r="T103" s="66">
        <f t="shared" si="1"/>
        <v>7391</v>
      </c>
      <c r="U103" s="66">
        <f t="shared" si="1"/>
        <v>6555</v>
      </c>
      <c r="V103" s="66">
        <f t="shared" si="1"/>
        <v>6700</v>
      </c>
      <c r="W103" s="66">
        <f t="shared" si="1"/>
        <v>6222</v>
      </c>
      <c r="X103" s="66">
        <f t="shared" si="1"/>
        <v>6269</v>
      </c>
      <c r="Y103" s="66">
        <f t="shared" si="1"/>
        <v>6755</v>
      </c>
      <c r="Z103" s="66">
        <f t="shared" si="1"/>
        <v>6037</v>
      </c>
      <c r="AA103" s="66">
        <f t="shared" si="1"/>
        <v>7140</v>
      </c>
      <c r="AB103" s="66">
        <f t="shared" si="1"/>
        <v>6963</v>
      </c>
      <c r="AC103" s="66">
        <f t="shared" si="1"/>
        <v>6030</v>
      </c>
      <c r="AD103" s="66">
        <f t="shared" si="1"/>
        <v>5810</v>
      </c>
      <c r="AE103" s="66">
        <f t="shared" si="1"/>
        <v>6821</v>
      </c>
      <c r="AF103" s="66">
        <f t="shared" si="1"/>
        <v>5780</v>
      </c>
      <c r="AG103" s="66">
        <f t="shared" si="1"/>
        <v>7194</v>
      </c>
      <c r="AH103" s="66">
        <f t="shared" si="1"/>
        <v>7182</v>
      </c>
      <c r="AI103" s="66">
        <f t="shared" si="1"/>
        <v>6536</v>
      </c>
      <c r="AJ103" s="66">
        <f t="shared" si="1"/>
        <v>6315</v>
      </c>
      <c r="AK103" s="66">
        <f t="shared" si="1"/>
        <v>7142</v>
      </c>
      <c r="AL103" s="66">
        <f t="shared" si="1"/>
        <v>6934</v>
      </c>
      <c r="AM103" s="66">
        <f t="shared" si="1"/>
        <v>6411</v>
      </c>
      <c r="AN103" s="66">
        <f t="shared" si="1"/>
        <v>6474</v>
      </c>
      <c r="AO103" s="66">
        <f t="shared" si="1"/>
        <v>6630</v>
      </c>
      <c r="AP103" s="66">
        <f t="shared" si="1"/>
        <v>6691</v>
      </c>
      <c r="AQ103" s="66">
        <f t="shared" si="1"/>
        <v>6310</v>
      </c>
      <c r="AR103" s="66">
        <f t="shared" si="1"/>
        <v>7154</v>
      </c>
      <c r="AS103" s="66">
        <f t="shared" si="1"/>
        <v>6485</v>
      </c>
      <c r="AT103" s="66">
        <f t="shared" si="1"/>
        <v>6828</v>
      </c>
      <c r="AU103" s="66">
        <f t="shared" si="1"/>
        <v>7120</v>
      </c>
      <c r="AV103" s="66">
        <f t="shared" si="1"/>
        <v>7437</v>
      </c>
      <c r="AW103" s="66">
        <f t="shared" si="1"/>
        <v>6290</v>
      </c>
      <c r="AX103" s="66">
        <f t="shared" si="1"/>
        <v>5972</v>
      </c>
      <c r="AY103" s="66">
        <f t="shared" si="1"/>
        <v>7147</v>
      </c>
      <c r="AZ103" s="66">
        <f t="shared" si="1"/>
        <v>7050</v>
      </c>
      <c r="BA103" s="66">
        <f t="shared" si="1"/>
        <v>6016</v>
      </c>
      <c r="BB103" s="66">
        <f t="shared" si="1"/>
        <v>6492</v>
      </c>
      <c r="BC103" s="66">
        <f t="shared" si="1"/>
        <v>6035</v>
      </c>
      <c r="BD103" s="66">
        <f t="shared" si="1"/>
        <v>7970</v>
      </c>
      <c r="BE103" s="66">
        <f t="shared" si="1"/>
        <v>7527</v>
      </c>
      <c r="BF103" s="66">
        <f t="shared" si="1"/>
        <v>6145</v>
      </c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  <c r="DA103" s="26"/>
      <c r="DB103" s="26"/>
      <c r="DC103" s="26"/>
      <c r="DD103" s="26"/>
    </row>
    <row r="104" spans="8:108" x14ac:dyDescent="0.2">
      <c r="H104" s="65" t="s">
        <v>90</v>
      </c>
      <c r="I104" s="66">
        <f>AVERAGE(I3:I102)</f>
        <v>74.94</v>
      </c>
      <c r="J104" s="66">
        <f t="shared" ref="J104:BF104" si="2">AVERAGE(J3:J102)</f>
        <v>64.31</v>
      </c>
      <c r="K104" s="66">
        <f t="shared" si="2"/>
        <v>58.82</v>
      </c>
      <c r="L104" s="66">
        <f t="shared" si="2"/>
        <v>65</v>
      </c>
      <c r="M104" s="66">
        <f t="shared" si="2"/>
        <v>60.89</v>
      </c>
      <c r="N104" s="66">
        <f t="shared" si="2"/>
        <v>68.33</v>
      </c>
      <c r="O104" s="66">
        <f t="shared" si="2"/>
        <v>65.56</v>
      </c>
      <c r="P104" s="66">
        <f t="shared" si="2"/>
        <v>67.010000000000005</v>
      </c>
      <c r="Q104" s="66">
        <f t="shared" si="2"/>
        <v>63.97</v>
      </c>
      <c r="R104" s="66">
        <f t="shared" si="2"/>
        <v>63.42</v>
      </c>
      <c r="S104" s="66">
        <f t="shared" si="2"/>
        <v>62.57</v>
      </c>
      <c r="T104" s="66">
        <f t="shared" si="2"/>
        <v>73.91</v>
      </c>
      <c r="U104" s="66">
        <f t="shared" si="2"/>
        <v>65.55</v>
      </c>
      <c r="V104" s="66">
        <f t="shared" si="2"/>
        <v>67</v>
      </c>
      <c r="W104" s="66">
        <f t="shared" si="2"/>
        <v>62.22</v>
      </c>
      <c r="X104" s="66">
        <f t="shared" si="2"/>
        <v>62.69</v>
      </c>
      <c r="Y104" s="66">
        <f t="shared" si="2"/>
        <v>67.55</v>
      </c>
      <c r="Z104" s="66">
        <f t="shared" si="2"/>
        <v>60.37</v>
      </c>
      <c r="AA104" s="66">
        <f t="shared" si="2"/>
        <v>71.400000000000006</v>
      </c>
      <c r="AB104" s="66">
        <f t="shared" si="2"/>
        <v>69.63</v>
      </c>
      <c r="AC104" s="66">
        <f t="shared" si="2"/>
        <v>60.3</v>
      </c>
      <c r="AD104" s="66">
        <f t="shared" si="2"/>
        <v>58.1</v>
      </c>
      <c r="AE104" s="66">
        <f t="shared" si="2"/>
        <v>68.209999999999994</v>
      </c>
      <c r="AF104" s="66">
        <f t="shared" si="2"/>
        <v>57.8</v>
      </c>
      <c r="AG104" s="66">
        <f t="shared" si="2"/>
        <v>71.94</v>
      </c>
      <c r="AH104" s="66">
        <f t="shared" si="2"/>
        <v>71.819999999999993</v>
      </c>
      <c r="AI104" s="66">
        <f t="shared" si="2"/>
        <v>65.36</v>
      </c>
      <c r="AJ104" s="66">
        <f t="shared" si="2"/>
        <v>63.15</v>
      </c>
      <c r="AK104" s="66">
        <f t="shared" si="2"/>
        <v>71.42</v>
      </c>
      <c r="AL104" s="66">
        <f t="shared" si="2"/>
        <v>69.34</v>
      </c>
      <c r="AM104" s="66">
        <f t="shared" si="2"/>
        <v>64.11</v>
      </c>
      <c r="AN104" s="66">
        <f t="shared" si="2"/>
        <v>64.739999999999995</v>
      </c>
      <c r="AO104" s="66">
        <f t="shared" si="2"/>
        <v>66.3</v>
      </c>
      <c r="AP104" s="66">
        <f t="shared" si="2"/>
        <v>66.91</v>
      </c>
      <c r="AQ104" s="66">
        <f t="shared" si="2"/>
        <v>63.1</v>
      </c>
      <c r="AR104" s="66">
        <f t="shared" si="2"/>
        <v>71.540000000000006</v>
      </c>
      <c r="AS104" s="66">
        <f t="shared" si="2"/>
        <v>64.849999999999994</v>
      </c>
      <c r="AT104" s="66">
        <f t="shared" si="2"/>
        <v>68.28</v>
      </c>
      <c r="AU104" s="66">
        <f t="shared" si="2"/>
        <v>71.2</v>
      </c>
      <c r="AV104" s="66">
        <f t="shared" si="2"/>
        <v>74.37</v>
      </c>
      <c r="AW104" s="66">
        <f t="shared" si="2"/>
        <v>62.9</v>
      </c>
      <c r="AX104" s="66">
        <f t="shared" si="2"/>
        <v>59.72</v>
      </c>
      <c r="AY104" s="66">
        <f t="shared" si="2"/>
        <v>71.47</v>
      </c>
      <c r="AZ104" s="66">
        <f t="shared" si="2"/>
        <v>70.5</v>
      </c>
      <c r="BA104" s="66">
        <f t="shared" si="2"/>
        <v>60.16</v>
      </c>
      <c r="BB104" s="66">
        <f t="shared" si="2"/>
        <v>64.92</v>
      </c>
      <c r="BC104" s="66">
        <f t="shared" si="2"/>
        <v>60.35</v>
      </c>
      <c r="BD104" s="66">
        <f t="shared" si="2"/>
        <v>79.7</v>
      </c>
      <c r="BE104" s="66">
        <f t="shared" si="2"/>
        <v>75.27</v>
      </c>
      <c r="BF104" s="66">
        <f t="shared" si="2"/>
        <v>61.45</v>
      </c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6"/>
      <c r="DC104" s="26"/>
      <c r="DD104" s="26"/>
    </row>
    <row r="105" spans="8:108" x14ac:dyDescent="0.2">
      <c r="H105" s="65" t="s">
        <v>91</v>
      </c>
      <c r="I105" s="66">
        <f>SQRT(_xlfn.VAR.P(I3:I102))</f>
        <v>51.51151715878693</v>
      </c>
      <c r="J105" s="66">
        <f t="shared" ref="J105:BF105" si="3">SQRT(_xlfn.VAR.P(J3:J102))</f>
        <v>47.681588689975506</v>
      </c>
      <c r="K105" s="66">
        <f t="shared" si="3"/>
        <v>41.581577651647606</v>
      </c>
      <c r="L105" s="66">
        <f t="shared" si="3"/>
        <v>43.230313438604625</v>
      </c>
      <c r="M105" s="66">
        <f t="shared" si="3"/>
        <v>50.422989796322071</v>
      </c>
      <c r="N105" s="66">
        <f t="shared" si="3"/>
        <v>48.564813394061339</v>
      </c>
      <c r="O105" s="66">
        <f t="shared" si="3"/>
        <v>46.582254131804312</v>
      </c>
      <c r="P105" s="66">
        <f t="shared" si="3"/>
        <v>46.257214572431835</v>
      </c>
      <c r="Q105" s="66">
        <f t="shared" si="3"/>
        <v>50.57814844376967</v>
      </c>
      <c r="R105" s="66">
        <f t="shared" si="3"/>
        <v>45.69314609435424</v>
      </c>
      <c r="S105" s="66">
        <f t="shared" si="3"/>
        <v>45.986575214947244</v>
      </c>
      <c r="T105" s="66">
        <f t="shared" si="3"/>
        <v>48.903802510643281</v>
      </c>
      <c r="U105" s="66">
        <f t="shared" si="3"/>
        <v>54.135639831815048</v>
      </c>
      <c r="V105" s="66">
        <f t="shared" si="3"/>
        <v>45.439850351866262</v>
      </c>
      <c r="W105" s="66">
        <f t="shared" si="3"/>
        <v>48.222729080797571</v>
      </c>
      <c r="X105" s="66">
        <f t="shared" si="3"/>
        <v>43.248975710414229</v>
      </c>
      <c r="Y105" s="66">
        <f t="shared" si="3"/>
        <v>49.314779731841043</v>
      </c>
      <c r="Z105" s="66">
        <f t="shared" si="3"/>
        <v>43.244341826417013</v>
      </c>
      <c r="AA105" s="66">
        <f t="shared" si="3"/>
        <v>53.815239477307912</v>
      </c>
      <c r="AB105" s="66">
        <f t="shared" si="3"/>
        <v>52.051830899594684</v>
      </c>
      <c r="AC105" s="66">
        <f t="shared" si="3"/>
        <v>44.422179145107229</v>
      </c>
      <c r="AD105" s="66">
        <f t="shared" si="3"/>
        <v>43.693363340443362</v>
      </c>
      <c r="AE105" s="66">
        <f t="shared" si="3"/>
        <v>49.881518621629795</v>
      </c>
      <c r="AF105" s="66">
        <f t="shared" si="3"/>
        <v>40.3583944180142</v>
      </c>
      <c r="AG105" s="66">
        <f t="shared" si="3"/>
        <v>49.492791394303069</v>
      </c>
      <c r="AH105" s="66">
        <f t="shared" si="3"/>
        <v>51.596003721218565</v>
      </c>
      <c r="AI105" s="66">
        <f t="shared" si="3"/>
        <v>43.787788251977283</v>
      </c>
      <c r="AJ105" s="66">
        <f t="shared" si="3"/>
        <v>47.527965451931557</v>
      </c>
      <c r="AK105" s="66">
        <f t="shared" si="3"/>
        <v>49.081397698109619</v>
      </c>
      <c r="AL105" s="66">
        <f t="shared" si="3"/>
        <v>51.531780485444123</v>
      </c>
      <c r="AM105" s="66">
        <f t="shared" si="3"/>
        <v>49.193474160705499</v>
      </c>
      <c r="AN105" s="66">
        <f t="shared" si="3"/>
        <v>43.948064803811327</v>
      </c>
      <c r="AO105" s="66">
        <f t="shared" si="3"/>
        <v>48.04425043644661</v>
      </c>
      <c r="AP105" s="66">
        <f t="shared" si="3"/>
        <v>46.572759205355226</v>
      </c>
      <c r="AQ105" s="66">
        <f t="shared" si="3"/>
        <v>50.958512537161049</v>
      </c>
      <c r="AR105" s="66">
        <f t="shared" si="3"/>
        <v>48.859680719382517</v>
      </c>
      <c r="AS105" s="66">
        <f t="shared" si="3"/>
        <v>49.867699967012712</v>
      </c>
      <c r="AT105" s="66">
        <f t="shared" si="3"/>
        <v>48.552050420141882</v>
      </c>
      <c r="AU105" s="66">
        <f t="shared" si="3"/>
        <v>48.843013830024859</v>
      </c>
      <c r="AV105" s="66">
        <f t="shared" si="3"/>
        <v>52.567985504487424</v>
      </c>
      <c r="AW105" s="66">
        <f t="shared" si="3"/>
        <v>44.122443268703968</v>
      </c>
      <c r="AX105" s="66">
        <f t="shared" si="3"/>
        <v>45.868961182917587</v>
      </c>
      <c r="AY105" s="66">
        <f t="shared" si="3"/>
        <v>51.169220240296802</v>
      </c>
      <c r="AZ105" s="66">
        <f t="shared" si="3"/>
        <v>51.002058781974675</v>
      </c>
      <c r="BA105" s="66">
        <f t="shared" si="3"/>
        <v>42.036821954091629</v>
      </c>
      <c r="BB105" s="66">
        <f t="shared" si="3"/>
        <v>49.528109190640421</v>
      </c>
      <c r="BC105" s="66">
        <f t="shared" si="3"/>
        <v>45.187913206962769</v>
      </c>
      <c r="BD105" s="66">
        <f t="shared" si="3"/>
        <v>57.382314348586533</v>
      </c>
      <c r="BE105" s="66">
        <f t="shared" si="3"/>
        <v>55.995866811756741</v>
      </c>
      <c r="BF105" s="66">
        <f t="shared" si="3"/>
        <v>45.402945939663425</v>
      </c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  <c r="DA105" s="26"/>
      <c r="DB105" s="26"/>
      <c r="DC105" s="26"/>
      <c r="DD105" s="26"/>
    </row>
    <row r="106" spans="8:108" x14ac:dyDescent="0.2"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</row>
    <row r="107" spans="8:108" x14ac:dyDescent="0.2"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</row>
    <row r="108" spans="8:108" x14ac:dyDescent="0.2"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6"/>
      <c r="DC108" s="26"/>
      <c r="DD108" s="26"/>
    </row>
    <row r="109" spans="8:108" x14ac:dyDescent="0.2"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  <c r="DA109" s="26"/>
      <c r="DB109" s="26"/>
      <c r="DC109" s="26"/>
      <c r="DD109" s="26"/>
    </row>
    <row r="110" spans="8:108" x14ac:dyDescent="0.2"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</row>
    <row r="111" spans="8:108" x14ac:dyDescent="0.2"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  <c r="DA111" s="26"/>
      <c r="DB111" s="26"/>
      <c r="DC111" s="26"/>
      <c r="DD111" s="26"/>
    </row>
    <row r="112" spans="8:108" x14ac:dyDescent="0.2"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</row>
    <row r="113" spans="59:108" x14ac:dyDescent="0.2"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</row>
    <row r="114" spans="59:108" x14ac:dyDescent="0.2"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6"/>
      <c r="DC114" s="26"/>
      <c r="DD114" s="26"/>
    </row>
    <row r="115" spans="59:108" x14ac:dyDescent="0.2"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  <c r="DA115" s="26"/>
      <c r="DB115" s="26"/>
      <c r="DC115" s="26"/>
      <c r="DD115" s="26"/>
    </row>
    <row r="116" spans="59:108" x14ac:dyDescent="0.2"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6"/>
      <c r="DC116" s="26"/>
      <c r="DD116" s="26"/>
    </row>
    <row r="117" spans="59:108" x14ac:dyDescent="0.2"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6"/>
      <c r="DC117" s="26"/>
      <c r="DD117" s="26"/>
    </row>
    <row r="118" spans="59:108" x14ac:dyDescent="0.2"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</row>
    <row r="119" spans="59:108" x14ac:dyDescent="0.2"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</row>
    <row r="120" spans="59:108" x14ac:dyDescent="0.2"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</row>
    <row r="121" spans="59:108" x14ac:dyDescent="0.2"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  <c r="CX121" s="26"/>
      <c r="CY121" s="26"/>
      <c r="CZ121" s="26"/>
      <c r="DA121" s="26"/>
      <c r="DB121" s="26"/>
      <c r="DC121" s="26"/>
      <c r="DD121" s="26"/>
    </row>
    <row r="122" spans="59:108" x14ac:dyDescent="0.2"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  <c r="DA122" s="26"/>
      <c r="DB122" s="26"/>
      <c r="DC122" s="26"/>
      <c r="DD122" s="26"/>
    </row>
    <row r="123" spans="59:108" x14ac:dyDescent="0.2"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  <c r="CY123" s="26"/>
      <c r="CZ123" s="26"/>
      <c r="DA123" s="26"/>
      <c r="DB123" s="26"/>
      <c r="DC123" s="26"/>
      <c r="DD123" s="26"/>
    </row>
    <row r="124" spans="59:108" x14ac:dyDescent="0.2"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  <c r="CY124" s="26"/>
      <c r="CZ124" s="26"/>
      <c r="DA124" s="26"/>
      <c r="DB124" s="26"/>
      <c r="DC124" s="26"/>
      <c r="DD124" s="26"/>
    </row>
    <row r="125" spans="59:108" x14ac:dyDescent="0.2"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  <c r="CX125" s="26"/>
      <c r="CY125" s="26"/>
      <c r="CZ125" s="26"/>
      <c r="DA125" s="26"/>
      <c r="DB125" s="26"/>
      <c r="DC125" s="26"/>
      <c r="DD125" s="26"/>
    </row>
    <row r="126" spans="59:108" x14ac:dyDescent="0.2"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6"/>
      <c r="DC126" s="26"/>
      <c r="DD126" s="26"/>
    </row>
    <row r="127" spans="59:108" x14ac:dyDescent="0.2"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6"/>
      <c r="DC127" s="26"/>
      <c r="DD127" s="26"/>
    </row>
    <row r="128" spans="59:108" x14ac:dyDescent="0.2"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  <c r="DA128" s="26"/>
      <c r="DB128" s="26"/>
      <c r="DC128" s="26"/>
      <c r="DD128" s="26"/>
    </row>
    <row r="129" spans="59:108" x14ac:dyDescent="0.2"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  <c r="DA129" s="26"/>
      <c r="DB129" s="26"/>
      <c r="DC129" s="26"/>
      <c r="DD129" s="26"/>
    </row>
    <row r="130" spans="59:108" x14ac:dyDescent="0.2"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  <c r="DA130" s="26"/>
      <c r="DB130" s="26"/>
      <c r="DC130" s="26"/>
      <c r="DD130" s="26"/>
    </row>
    <row r="131" spans="59:108" x14ac:dyDescent="0.2"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  <c r="DA131" s="26"/>
      <c r="DB131" s="26"/>
      <c r="DC131" s="26"/>
      <c r="DD131" s="26"/>
    </row>
    <row r="132" spans="59:108" x14ac:dyDescent="0.2"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</row>
    <row r="133" spans="59:108" x14ac:dyDescent="0.2"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  <c r="DA133" s="26"/>
      <c r="DB133" s="26"/>
      <c r="DC133" s="26"/>
      <c r="DD133" s="26"/>
    </row>
    <row r="134" spans="59:108" x14ac:dyDescent="0.2"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</row>
    <row r="135" spans="59:108" x14ac:dyDescent="0.2"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  <c r="DA135" s="26"/>
      <c r="DB135" s="26"/>
      <c r="DC135" s="26"/>
      <c r="DD135" s="26"/>
    </row>
    <row r="136" spans="59:108" x14ac:dyDescent="0.2"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  <c r="CX136" s="26"/>
      <c r="CY136" s="26"/>
      <c r="CZ136" s="26"/>
      <c r="DA136" s="26"/>
      <c r="DB136" s="26"/>
      <c r="DC136" s="26"/>
      <c r="DD136" s="26"/>
    </row>
    <row r="137" spans="59:108" x14ac:dyDescent="0.2"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  <c r="DA137" s="26"/>
      <c r="DB137" s="26"/>
      <c r="DC137" s="26"/>
      <c r="DD137" s="26"/>
    </row>
    <row r="138" spans="59:108" x14ac:dyDescent="0.2"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  <c r="DA138" s="26"/>
      <c r="DB138" s="26"/>
      <c r="DC138" s="26"/>
      <c r="DD138" s="26"/>
    </row>
    <row r="139" spans="59:108" x14ac:dyDescent="0.2"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  <c r="DA139" s="26"/>
      <c r="DB139" s="26"/>
      <c r="DC139" s="26"/>
      <c r="DD139" s="26"/>
    </row>
    <row r="140" spans="59:108" x14ac:dyDescent="0.2"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</row>
    <row r="141" spans="59:108" x14ac:dyDescent="0.2"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  <c r="DA141" s="26"/>
      <c r="DB141" s="26"/>
      <c r="DC141" s="26"/>
      <c r="DD141" s="26"/>
    </row>
    <row r="142" spans="59:108" x14ac:dyDescent="0.2"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  <c r="DA142" s="26"/>
      <c r="DB142" s="26"/>
      <c r="DC142" s="26"/>
      <c r="DD142" s="26"/>
    </row>
    <row r="143" spans="59:108" x14ac:dyDescent="0.2"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  <c r="DA143" s="26"/>
      <c r="DB143" s="26"/>
      <c r="DC143" s="26"/>
      <c r="DD143" s="26"/>
    </row>
    <row r="144" spans="59:108" x14ac:dyDescent="0.2"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  <c r="DA144" s="26"/>
      <c r="DB144" s="26"/>
      <c r="DC144" s="26"/>
      <c r="DD144" s="26"/>
    </row>
    <row r="145" spans="59:108" x14ac:dyDescent="0.2"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  <c r="DA145" s="26"/>
      <c r="DB145" s="26"/>
      <c r="DC145" s="26"/>
      <c r="DD145" s="26"/>
    </row>
    <row r="146" spans="59:108" x14ac:dyDescent="0.2"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</row>
    <row r="147" spans="59:108" x14ac:dyDescent="0.2"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</row>
    <row r="148" spans="59:108" x14ac:dyDescent="0.2"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  <c r="DA148" s="26"/>
      <c r="DB148" s="26"/>
      <c r="DC148" s="26"/>
      <c r="DD148" s="26"/>
    </row>
    <row r="149" spans="59:108" x14ac:dyDescent="0.2"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</row>
    <row r="150" spans="59:108" x14ac:dyDescent="0.2"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  <c r="DA150" s="26"/>
      <c r="DB150" s="26"/>
      <c r="DC150" s="26"/>
      <c r="DD150" s="26"/>
    </row>
    <row r="151" spans="59:108" x14ac:dyDescent="0.2"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  <c r="DA151" s="26"/>
      <c r="DB151" s="26"/>
      <c r="DC151" s="26"/>
      <c r="DD151" s="26"/>
    </row>
    <row r="152" spans="59:108" x14ac:dyDescent="0.2"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</row>
    <row r="153" spans="59:108" x14ac:dyDescent="0.2"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  <c r="DA153" s="26"/>
      <c r="DB153" s="26"/>
      <c r="DC153" s="26"/>
      <c r="DD153" s="26"/>
    </row>
    <row r="154" spans="59:108" x14ac:dyDescent="0.2"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  <c r="DA154" s="26"/>
      <c r="DB154" s="26"/>
      <c r="DC154" s="26"/>
      <c r="DD154" s="26"/>
    </row>
    <row r="155" spans="59:108" x14ac:dyDescent="0.2"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</row>
    <row r="156" spans="59:108" x14ac:dyDescent="0.2"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  <c r="CX156" s="26"/>
      <c r="CY156" s="26"/>
      <c r="CZ156" s="26"/>
      <c r="DA156" s="26"/>
      <c r="DB156" s="26"/>
      <c r="DC156" s="26"/>
      <c r="DD156" s="26"/>
    </row>
    <row r="157" spans="59:108" x14ac:dyDescent="0.2"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  <c r="CX157" s="26"/>
      <c r="CY157" s="26"/>
      <c r="CZ157" s="26"/>
      <c r="DA157" s="26"/>
      <c r="DB157" s="26"/>
      <c r="DC157" s="26"/>
      <c r="DD157" s="26"/>
    </row>
    <row r="158" spans="59:108" x14ac:dyDescent="0.2"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  <c r="CX158" s="26"/>
      <c r="CY158" s="26"/>
      <c r="CZ158" s="26"/>
      <c r="DA158" s="26"/>
      <c r="DB158" s="26"/>
      <c r="DC158" s="26"/>
      <c r="DD158" s="26"/>
    </row>
    <row r="159" spans="59:108" x14ac:dyDescent="0.2"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  <c r="CX159" s="26"/>
      <c r="CY159" s="26"/>
      <c r="CZ159" s="26"/>
      <c r="DA159" s="26"/>
      <c r="DB159" s="26"/>
      <c r="DC159" s="26"/>
      <c r="DD159" s="26"/>
    </row>
    <row r="160" spans="59:108" x14ac:dyDescent="0.2"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  <c r="CX160" s="26"/>
      <c r="CY160" s="26"/>
      <c r="CZ160" s="26"/>
      <c r="DA160" s="26"/>
      <c r="DB160" s="26"/>
      <c r="DC160" s="26"/>
      <c r="DD160" s="26"/>
    </row>
    <row r="161" spans="59:108" x14ac:dyDescent="0.2"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  <c r="CX161" s="26"/>
      <c r="CY161" s="26"/>
      <c r="CZ161" s="26"/>
      <c r="DA161" s="26"/>
      <c r="DB161" s="26"/>
      <c r="DC161" s="26"/>
      <c r="DD161" s="26"/>
    </row>
    <row r="162" spans="59:108" x14ac:dyDescent="0.2"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  <c r="CX162" s="26"/>
      <c r="CY162" s="26"/>
      <c r="CZ162" s="26"/>
      <c r="DA162" s="26"/>
      <c r="DB162" s="26"/>
      <c r="DC162" s="26"/>
      <c r="DD162" s="26"/>
    </row>
    <row r="163" spans="59:108" x14ac:dyDescent="0.2"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  <c r="CX163" s="26"/>
      <c r="CY163" s="26"/>
      <c r="CZ163" s="26"/>
      <c r="DA163" s="26"/>
      <c r="DB163" s="26"/>
      <c r="DC163" s="26"/>
      <c r="DD163" s="26"/>
    </row>
    <row r="164" spans="59:108" x14ac:dyDescent="0.2"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</row>
    <row r="165" spans="59:108" x14ac:dyDescent="0.2"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  <c r="CX165" s="26"/>
      <c r="CY165" s="26"/>
      <c r="CZ165" s="26"/>
      <c r="DA165" s="26"/>
      <c r="DB165" s="26"/>
      <c r="DC165" s="26"/>
      <c r="DD165" s="26"/>
    </row>
    <row r="166" spans="59:108" x14ac:dyDescent="0.2"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  <c r="CX166" s="26"/>
      <c r="CY166" s="26"/>
      <c r="CZ166" s="26"/>
      <c r="DA166" s="26"/>
      <c r="DB166" s="26"/>
      <c r="DC166" s="26"/>
      <c r="DD166" s="26"/>
    </row>
    <row r="167" spans="59:108" x14ac:dyDescent="0.2"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  <c r="CX167" s="26"/>
      <c r="CY167" s="26"/>
      <c r="CZ167" s="26"/>
      <c r="DA167" s="26"/>
      <c r="DB167" s="26"/>
      <c r="DC167" s="26"/>
      <c r="DD167" s="26"/>
    </row>
    <row r="168" spans="59:108" x14ac:dyDescent="0.2"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  <c r="CX168" s="26"/>
      <c r="CY168" s="26"/>
      <c r="CZ168" s="26"/>
      <c r="DA168" s="26"/>
      <c r="DB168" s="26"/>
      <c r="DC168" s="26"/>
      <c r="DD168" s="26"/>
    </row>
    <row r="169" spans="59:108" x14ac:dyDescent="0.2"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  <c r="CX169" s="26"/>
      <c r="CY169" s="26"/>
      <c r="CZ169" s="26"/>
      <c r="DA169" s="26"/>
      <c r="DB169" s="26"/>
      <c r="DC169" s="26"/>
      <c r="DD169" s="26"/>
    </row>
    <row r="170" spans="59:108" x14ac:dyDescent="0.2"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  <c r="CX170" s="26"/>
      <c r="CY170" s="26"/>
      <c r="CZ170" s="26"/>
      <c r="DA170" s="26"/>
      <c r="DB170" s="26"/>
      <c r="DC170" s="26"/>
      <c r="DD170" s="26"/>
    </row>
    <row r="171" spans="59:108" x14ac:dyDescent="0.2"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  <c r="CY171" s="26"/>
      <c r="CZ171" s="26"/>
      <c r="DA171" s="26"/>
      <c r="DB171" s="26"/>
      <c r="DC171" s="26"/>
      <c r="DD171" s="26"/>
    </row>
    <row r="172" spans="59:108" x14ac:dyDescent="0.2"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  <c r="CY172" s="26"/>
      <c r="CZ172" s="26"/>
      <c r="DA172" s="26"/>
      <c r="DB172" s="26"/>
      <c r="DC172" s="26"/>
      <c r="DD172" s="26"/>
    </row>
    <row r="173" spans="59:108" x14ac:dyDescent="0.2"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  <c r="CY173" s="26"/>
      <c r="CZ173" s="26"/>
      <c r="DA173" s="26"/>
      <c r="DB173" s="26"/>
      <c r="DC173" s="26"/>
      <c r="DD173" s="26"/>
    </row>
    <row r="174" spans="59:108" x14ac:dyDescent="0.2"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  <c r="CX174" s="26"/>
      <c r="CY174" s="26"/>
      <c r="CZ174" s="26"/>
      <c r="DA174" s="26"/>
      <c r="DB174" s="26"/>
      <c r="DC174" s="26"/>
      <c r="DD174" s="26"/>
    </row>
    <row r="175" spans="59:108" x14ac:dyDescent="0.2"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  <c r="CX175" s="26"/>
      <c r="CY175" s="26"/>
      <c r="CZ175" s="26"/>
      <c r="DA175" s="26"/>
      <c r="DB175" s="26"/>
      <c r="DC175" s="26"/>
      <c r="DD175" s="26"/>
    </row>
    <row r="176" spans="59:108" x14ac:dyDescent="0.2"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  <c r="CY176" s="26"/>
      <c r="CZ176" s="26"/>
      <c r="DA176" s="26"/>
      <c r="DB176" s="26"/>
      <c r="DC176" s="26"/>
      <c r="DD176" s="26"/>
    </row>
    <row r="177" spans="59:108" x14ac:dyDescent="0.2"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  <c r="CX177" s="26"/>
      <c r="CY177" s="26"/>
      <c r="CZ177" s="26"/>
      <c r="DA177" s="26"/>
      <c r="DB177" s="26"/>
      <c r="DC177" s="26"/>
      <c r="DD177" s="26"/>
    </row>
    <row r="178" spans="59:108" x14ac:dyDescent="0.2"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  <c r="CX178" s="26"/>
      <c r="CY178" s="26"/>
      <c r="CZ178" s="26"/>
      <c r="DA178" s="26"/>
      <c r="DB178" s="26"/>
      <c r="DC178" s="26"/>
      <c r="DD178" s="26"/>
    </row>
    <row r="179" spans="59:108" x14ac:dyDescent="0.2"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  <c r="CX179" s="26"/>
      <c r="CY179" s="26"/>
      <c r="CZ179" s="26"/>
      <c r="DA179" s="26"/>
      <c r="DB179" s="26"/>
      <c r="DC179" s="26"/>
      <c r="DD179" s="26"/>
    </row>
    <row r="180" spans="59:108" x14ac:dyDescent="0.2"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  <c r="CX180" s="26"/>
      <c r="CY180" s="26"/>
      <c r="CZ180" s="26"/>
      <c r="DA180" s="26"/>
      <c r="DB180" s="26"/>
      <c r="DC180" s="26"/>
      <c r="DD180" s="26"/>
    </row>
    <row r="181" spans="59:108" x14ac:dyDescent="0.2"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  <c r="CX181" s="26"/>
      <c r="CY181" s="26"/>
      <c r="CZ181" s="26"/>
      <c r="DA181" s="26"/>
      <c r="DB181" s="26"/>
      <c r="DC181" s="26"/>
      <c r="DD181" s="26"/>
    </row>
    <row r="182" spans="59:108" x14ac:dyDescent="0.2"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  <c r="CX182" s="26"/>
      <c r="CY182" s="26"/>
      <c r="CZ182" s="26"/>
      <c r="DA182" s="26"/>
      <c r="DB182" s="26"/>
      <c r="DC182" s="26"/>
      <c r="DD182" s="26"/>
    </row>
    <row r="183" spans="59:108" x14ac:dyDescent="0.2"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  <c r="CX183" s="26"/>
      <c r="CY183" s="26"/>
      <c r="CZ183" s="26"/>
      <c r="DA183" s="26"/>
      <c r="DB183" s="26"/>
      <c r="DC183" s="26"/>
      <c r="DD183" s="26"/>
    </row>
    <row r="184" spans="59:108" x14ac:dyDescent="0.2"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  <c r="CX184" s="26"/>
      <c r="CY184" s="26"/>
      <c r="CZ184" s="26"/>
      <c r="DA184" s="26"/>
      <c r="DB184" s="26"/>
      <c r="DC184" s="26"/>
      <c r="DD184" s="26"/>
    </row>
    <row r="185" spans="59:108" x14ac:dyDescent="0.2"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  <c r="CX185" s="26"/>
      <c r="CY185" s="26"/>
      <c r="CZ185" s="26"/>
      <c r="DA185" s="26"/>
      <c r="DB185" s="26"/>
      <c r="DC185" s="26"/>
      <c r="DD185" s="26"/>
    </row>
    <row r="186" spans="59:108" x14ac:dyDescent="0.2"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  <c r="CX186" s="26"/>
      <c r="CY186" s="26"/>
      <c r="CZ186" s="26"/>
      <c r="DA186" s="26"/>
      <c r="DB186" s="26"/>
      <c r="DC186" s="26"/>
      <c r="DD186" s="26"/>
    </row>
    <row r="187" spans="59:108" x14ac:dyDescent="0.2"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  <c r="CX187" s="26"/>
      <c r="CY187" s="26"/>
      <c r="CZ187" s="26"/>
      <c r="DA187" s="26"/>
      <c r="DB187" s="26"/>
      <c r="DC187" s="26"/>
      <c r="DD187" s="26"/>
    </row>
    <row r="188" spans="59:108" x14ac:dyDescent="0.2"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  <c r="CX188" s="26"/>
      <c r="CY188" s="26"/>
      <c r="CZ188" s="26"/>
      <c r="DA188" s="26"/>
      <c r="DB188" s="26"/>
      <c r="DC188" s="26"/>
      <c r="DD188" s="26"/>
    </row>
    <row r="189" spans="59:108" x14ac:dyDescent="0.2"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  <c r="CX189" s="26"/>
      <c r="CY189" s="26"/>
      <c r="CZ189" s="26"/>
      <c r="DA189" s="26"/>
      <c r="DB189" s="26"/>
      <c r="DC189" s="26"/>
      <c r="DD189" s="26"/>
    </row>
    <row r="190" spans="59:108" x14ac:dyDescent="0.2"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  <c r="CX190" s="26"/>
      <c r="CY190" s="26"/>
      <c r="CZ190" s="26"/>
      <c r="DA190" s="26"/>
      <c r="DB190" s="26"/>
      <c r="DC190" s="26"/>
      <c r="DD190" s="26"/>
    </row>
    <row r="191" spans="59:108" x14ac:dyDescent="0.2"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  <c r="CX191" s="26"/>
      <c r="CY191" s="26"/>
      <c r="CZ191" s="26"/>
      <c r="DA191" s="26"/>
      <c r="DB191" s="26"/>
      <c r="DC191" s="26"/>
      <c r="DD191" s="26"/>
    </row>
    <row r="192" spans="59:108" x14ac:dyDescent="0.2"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  <c r="CX192" s="26"/>
      <c r="CY192" s="26"/>
      <c r="CZ192" s="26"/>
      <c r="DA192" s="26"/>
      <c r="DB192" s="26"/>
      <c r="DC192" s="26"/>
      <c r="DD192" s="26"/>
    </row>
    <row r="193" spans="59:108" x14ac:dyDescent="0.2"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  <c r="CX193" s="26"/>
      <c r="CY193" s="26"/>
      <c r="CZ193" s="26"/>
      <c r="DA193" s="26"/>
      <c r="DB193" s="26"/>
      <c r="DC193" s="26"/>
      <c r="DD193" s="26"/>
    </row>
    <row r="194" spans="59:108" x14ac:dyDescent="0.2"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  <c r="CX194" s="26"/>
      <c r="CY194" s="26"/>
      <c r="CZ194" s="26"/>
      <c r="DA194" s="26"/>
      <c r="DB194" s="26"/>
      <c r="DC194" s="26"/>
      <c r="DD194" s="26"/>
    </row>
    <row r="195" spans="59:108" x14ac:dyDescent="0.2"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  <c r="CX195" s="26"/>
      <c r="CY195" s="26"/>
      <c r="CZ195" s="26"/>
      <c r="DA195" s="26"/>
      <c r="DB195" s="26"/>
      <c r="DC195" s="26"/>
      <c r="DD195" s="26"/>
    </row>
    <row r="196" spans="59:108" x14ac:dyDescent="0.2"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  <c r="DA196" s="26"/>
      <c r="DB196" s="26"/>
      <c r="DC196" s="26"/>
      <c r="DD196" s="26"/>
    </row>
    <row r="197" spans="59:108" x14ac:dyDescent="0.2"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  <c r="DA197" s="26"/>
      <c r="DB197" s="26"/>
      <c r="DC197" s="26"/>
      <c r="DD197" s="26"/>
    </row>
    <row r="198" spans="59:108" x14ac:dyDescent="0.2"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  <c r="CX198" s="26"/>
      <c r="CY198" s="26"/>
      <c r="CZ198" s="26"/>
      <c r="DA198" s="26"/>
      <c r="DB198" s="26"/>
      <c r="DC198" s="26"/>
      <c r="DD198" s="26"/>
    </row>
    <row r="199" spans="59:108" x14ac:dyDescent="0.2"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  <c r="DA199" s="26"/>
      <c r="DB199" s="26"/>
      <c r="DC199" s="26"/>
      <c r="DD199" s="26"/>
    </row>
    <row r="200" spans="59:108" x14ac:dyDescent="0.2"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  <c r="DA200" s="26"/>
      <c r="DB200" s="26"/>
      <c r="DC200" s="26"/>
      <c r="DD200" s="26"/>
    </row>
    <row r="201" spans="59:108" x14ac:dyDescent="0.2"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  <c r="DA201" s="26"/>
      <c r="DB201" s="26"/>
      <c r="DC201" s="26"/>
      <c r="DD201" s="26"/>
    </row>
    <row r="202" spans="59:108" x14ac:dyDescent="0.2"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6"/>
      <c r="DC202" s="26"/>
      <c r="DD202" s="26"/>
    </row>
    <row r="203" spans="59:108" x14ac:dyDescent="0.2"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  <c r="DA203" s="26"/>
      <c r="DB203" s="26"/>
      <c r="DC203" s="26"/>
      <c r="DD203" s="26"/>
    </row>
    <row r="204" spans="59:108" x14ac:dyDescent="0.2"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  <c r="DA204" s="26"/>
      <c r="DB204" s="26"/>
      <c r="DC204" s="26"/>
      <c r="DD204" s="26"/>
    </row>
    <row r="205" spans="59:108" x14ac:dyDescent="0.2"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  <c r="DA205" s="26"/>
      <c r="DB205" s="26"/>
      <c r="DC205" s="26"/>
      <c r="DD205" s="26"/>
    </row>
    <row r="206" spans="59:108" x14ac:dyDescent="0.2"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6"/>
      <c r="DC206" s="26"/>
      <c r="DD206" s="26"/>
    </row>
    <row r="207" spans="59:108" x14ac:dyDescent="0.2"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  <c r="DA207" s="26"/>
      <c r="DB207" s="26"/>
      <c r="DC207" s="26"/>
      <c r="DD207" s="26"/>
    </row>
    <row r="208" spans="59:108" x14ac:dyDescent="0.2"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  <c r="DA208" s="26"/>
      <c r="DB208" s="26"/>
      <c r="DC208" s="26"/>
      <c r="DD208" s="26"/>
    </row>
    <row r="209" spans="59:108" x14ac:dyDescent="0.2"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  <c r="DA209" s="26"/>
      <c r="DB209" s="26"/>
      <c r="DC209" s="26"/>
      <c r="DD209" s="26"/>
    </row>
    <row r="210" spans="59:108" x14ac:dyDescent="0.2"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  <c r="DA210" s="26"/>
      <c r="DB210" s="26"/>
      <c r="DC210" s="26"/>
      <c r="DD210" s="26"/>
    </row>
    <row r="211" spans="59:108" x14ac:dyDescent="0.2"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  <c r="DA211" s="26"/>
      <c r="DB211" s="26"/>
      <c r="DC211" s="26"/>
      <c r="DD211" s="26"/>
    </row>
    <row r="212" spans="59:108" x14ac:dyDescent="0.2"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6"/>
      <c r="DC212" s="26"/>
      <c r="DD212" s="26"/>
    </row>
    <row r="213" spans="59:108" x14ac:dyDescent="0.2"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  <c r="DA213" s="26"/>
      <c r="DB213" s="26"/>
      <c r="DC213" s="26"/>
      <c r="DD213" s="26"/>
    </row>
    <row r="214" spans="59:108" x14ac:dyDescent="0.2"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  <c r="DA214" s="26"/>
      <c r="DB214" s="26"/>
      <c r="DC214" s="26"/>
      <c r="DD214" s="26"/>
    </row>
    <row r="215" spans="59:108" x14ac:dyDescent="0.2"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  <c r="DA215" s="26"/>
      <c r="DB215" s="26"/>
      <c r="DC215" s="26"/>
      <c r="DD215" s="26"/>
    </row>
    <row r="216" spans="59:108" x14ac:dyDescent="0.2"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  <c r="DA216" s="26"/>
      <c r="DB216" s="26"/>
      <c r="DC216" s="26"/>
      <c r="DD216" s="26"/>
    </row>
    <row r="217" spans="59:108" x14ac:dyDescent="0.2"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  <c r="DA217" s="26"/>
      <c r="DB217" s="26"/>
      <c r="DC217" s="26"/>
      <c r="DD217" s="26"/>
    </row>
    <row r="218" spans="59:108" x14ac:dyDescent="0.2"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  <c r="DA218" s="26"/>
      <c r="DB218" s="26"/>
      <c r="DC218" s="26"/>
      <c r="DD218" s="26"/>
    </row>
    <row r="219" spans="59:108" x14ac:dyDescent="0.2"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  <c r="DA219" s="26"/>
      <c r="DB219" s="26"/>
      <c r="DC219" s="26"/>
      <c r="DD219" s="26"/>
    </row>
    <row r="220" spans="59:108" x14ac:dyDescent="0.2"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  <c r="DA220" s="26"/>
      <c r="DB220" s="26"/>
      <c r="DC220" s="26"/>
      <c r="DD220" s="26"/>
    </row>
    <row r="221" spans="59:108" x14ac:dyDescent="0.2"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  <c r="DA221" s="26"/>
      <c r="DB221" s="26"/>
      <c r="DC221" s="26"/>
      <c r="DD221" s="26"/>
    </row>
    <row r="222" spans="59:108" x14ac:dyDescent="0.2"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  <c r="DA222" s="26"/>
      <c r="DB222" s="26"/>
      <c r="DC222" s="26"/>
      <c r="DD222" s="26"/>
    </row>
    <row r="223" spans="59:108" x14ac:dyDescent="0.2"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  <c r="DA223" s="26"/>
      <c r="DB223" s="26"/>
      <c r="DC223" s="26"/>
      <c r="DD223" s="26"/>
    </row>
    <row r="224" spans="59:108" x14ac:dyDescent="0.2"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  <c r="DA224" s="26"/>
      <c r="DB224" s="26"/>
      <c r="DC224" s="26"/>
      <c r="DD224" s="26"/>
    </row>
    <row r="225" spans="59:108" x14ac:dyDescent="0.2"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  <c r="DA225" s="26"/>
      <c r="DB225" s="26"/>
      <c r="DC225" s="26"/>
      <c r="DD225" s="26"/>
    </row>
    <row r="226" spans="59:108" x14ac:dyDescent="0.2"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6"/>
      <c r="DC226" s="26"/>
      <c r="DD226" s="26"/>
    </row>
    <row r="227" spans="59:108" x14ac:dyDescent="0.2"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  <c r="DA227" s="26"/>
      <c r="DB227" s="26"/>
      <c r="DC227" s="26"/>
      <c r="DD227" s="26"/>
    </row>
    <row r="228" spans="59:108" x14ac:dyDescent="0.2"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  <c r="DA228" s="26"/>
      <c r="DB228" s="26"/>
      <c r="DC228" s="26"/>
      <c r="DD228" s="26"/>
    </row>
    <row r="229" spans="59:108" x14ac:dyDescent="0.2"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  <c r="DA229" s="26"/>
      <c r="DB229" s="26"/>
      <c r="DC229" s="26"/>
      <c r="DD229" s="26"/>
    </row>
    <row r="230" spans="59:108" x14ac:dyDescent="0.2"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  <c r="DA230" s="26"/>
      <c r="DB230" s="26"/>
      <c r="DC230" s="26"/>
      <c r="DD230" s="26"/>
    </row>
    <row r="231" spans="59:108" x14ac:dyDescent="0.2"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  <c r="DA231" s="26"/>
      <c r="DB231" s="26"/>
      <c r="DC231" s="26"/>
      <c r="DD231" s="26"/>
    </row>
    <row r="232" spans="59:108" x14ac:dyDescent="0.2"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  <c r="DA232" s="26"/>
      <c r="DB232" s="26"/>
      <c r="DC232" s="26"/>
      <c r="DD232" s="26"/>
    </row>
    <row r="233" spans="59:108" x14ac:dyDescent="0.2"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  <c r="DA233" s="26"/>
      <c r="DB233" s="26"/>
      <c r="DC233" s="26"/>
      <c r="DD233" s="26"/>
    </row>
    <row r="234" spans="59:108" x14ac:dyDescent="0.2"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  <c r="DA234" s="26"/>
      <c r="DB234" s="26"/>
      <c r="DC234" s="26"/>
      <c r="DD234" s="26"/>
    </row>
    <row r="235" spans="59:108" x14ac:dyDescent="0.2"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6"/>
      <c r="DC235" s="26"/>
      <c r="DD235" s="26"/>
    </row>
    <row r="236" spans="59:108" x14ac:dyDescent="0.2"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6"/>
      <c r="DC236" s="26"/>
      <c r="DD236" s="26"/>
    </row>
    <row r="237" spans="59:108" x14ac:dyDescent="0.2"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  <c r="DA237" s="26"/>
      <c r="DB237" s="26"/>
      <c r="DC237" s="26"/>
      <c r="DD237" s="26"/>
    </row>
    <row r="238" spans="59:108" x14ac:dyDescent="0.2"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  <c r="DA238" s="26"/>
      <c r="DB238" s="26"/>
      <c r="DC238" s="26"/>
      <c r="DD238" s="26"/>
    </row>
    <row r="239" spans="59:108" x14ac:dyDescent="0.2"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  <c r="DA239" s="26"/>
      <c r="DB239" s="26"/>
      <c r="DC239" s="26"/>
      <c r="DD239" s="26"/>
    </row>
    <row r="240" spans="59:108" x14ac:dyDescent="0.2"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  <c r="DA240" s="26"/>
      <c r="DB240" s="26"/>
      <c r="DC240" s="26"/>
      <c r="DD240" s="26"/>
    </row>
    <row r="241" spans="59:108" x14ac:dyDescent="0.2"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  <c r="DA241" s="26"/>
      <c r="DB241" s="26"/>
      <c r="DC241" s="26"/>
      <c r="DD241" s="26"/>
    </row>
    <row r="242" spans="59:108" x14ac:dyDescent="0.2"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  <c r="DA242" s="26"/>
      <c r="DB242" s="26"/>
      <c r="DC242" s="26"/>
      <c r="DD242" s="26"/>
    </row>
    <row r="243" spans="59:108" x14ac:dyDescent="0.2"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  <c r="DA243" s="26"/>
      <c r="DB243" s="26"/>
      <c r="DC243" s="26"/>
      <c r="DD243" s="26"/>
    </row>
    <row r="244" spans="59:108" x14ac:dyDescent="0.2"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  <c r="DA244" s="26"/>
      <c r="DB244" s="26"/>
      <c r="DC244" s="26"/>
      <c r="DD244" s="26"/>
    </row>
    <row r="245" spans="59:108" x14ac:dyDescent="0.2"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  <c r="DA245" s="26"/>
      <c r="DB245" s="26"/>
      <c r="DC245" s="26"/>
      <c r="DD245" s="26"/>
    </row>
    <row r="246" spans="59:108" x14ac:dyDescent="0.2"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6"/>
      <c r="DC246" s="26"/>
      <c r="DD246" s="26"/>
    </row>
    <row r="247" spans="59:108" x14ac:dyDescent="0.2"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  <c r="DA247" s="26"/>
      <c r="DB247" s="26"/>
      <c r="DC247" s="26"/>
      <c r="DD247" s="26"/>
    </row>
    <row r="248" spans="59:108" x14ac:dyDescent="0.2"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  <c r="DA248" s="26"/>
      <c r="DB248" s="26"/>
      <c r="DC248" s="26"/>
      <c r="DD248" s="26"/>
    </row>
    <row r="249" spans="59:108" x14ac:dyDescent="0.2"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  <c r="DA249" s="26"/>
      <c r="DB249" s="26"/>
      <c r="DC249" s="26"/>
      <c r="DD249" s="26"/>
    </row>
    <row r="250" spans="59:108" x14ac:dyDescent="0.2"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  <c r="DA250" s="26"/>
      <c r="DB250" s="26"/>
      <c r="DC250" s="26"/>
      <c r="DD250" s="26"/>
    </row>
    <row r="251" spans="59:108" x14ac:dyDescent="0.2"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  <c r="DA251" s="26"/>
      <c r="DB251" s="26"/>
      <c r="DC251" s="26"/>
      <c r="DD251" s="26"/>
    </row>
    <row r="252" spans="59:108" x14ac:dyDescent="0.2"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  <c r="DA252" s="26"/>
      <c r="DB252" s="26"/>
      <c r="DC252" s="26"/>
      <c r="DD252" s="26"/>
    </row>
    <row r="253" spans="59:108" x14ac:dyDescent="0.2"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  <c r="DA253" s="26"/>
      <c r="DB253" s="26"/>
      <c r="DC253" s="26"/>
      <c r="DD253" s="26"/>
    </row>
    <row r="254" spans="59:108" x14ac:dyDescent="0.2"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  <c r="DA254" s="26"/>
      <c r="DB254" s="26"/>
      <c r="DC254" s="26"/>
      <c r="DD254" s="26"/>
    </row>
    <row r="255" spans="59:108" x14ac:dyDescent="0.2"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  <c r="DA255" s="26"/>
      <c r="DB255" s="26"/>
      <c r="DC255" s="26"/>
      <c r="DD255" s="26"/>
    </row>
    <row r="256" spans="59:108" x14ac:dyDescent="0.2"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  <c r="DA256" s="26"/>
      <c r="DB256" s="26"/>
      <c r="DC256" s="26"/>
      <c r="DD256" s="26"/>
    </row>
    <row r="257" spans="59:108" x14ac:dyDescent="0.2"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  <c r="DA257" s="26"/>
      <c r="DB257" s="26"/>
      <c r="DC257" s="26"/>
      <c r="DD257" s="26"/>
    </row>
    <row r="258" spans="59:108" x14ac:dyDescent="0.2"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6"/>
      <c r="DC258" s="26"/>
      <c r="DD258" s="26"/>
    </row>
    <row r="259" spans="59:108" x14ac:dyDescent="0.2"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  <c r="DA259" s="26"/>
      <c r="DB259" s="26"/>
      <c r="DC259" s="26"/>
      <c r="DD259" s="26"/>
    </row>
    <row r="260" spans="59:108" x14ac:dyDescent="0.2"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  <c r="DA260" s="26"/>
      <c r="DB260" s="26"/>
      <c r="DC260" s="26"/>
      <c r="DD260" s="26"/>
    </row>
    <row r="261" spans="59:108" x14ac:dyDescent="0.2"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  <c r="DA261" s="26"/>
      <c r="DB261" s="26"/>
      <c r="DC261" s="26"/>
      <c r="DD261" s="26"/>
    </row>
    <row r="262" spans="59:108" x14ac:dyDescent="0.2"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  <c r="DA262" s="26"/>
      <c r="DB262" s="26"/>
      <c r="DC262" s="26"/>
      <c r="DD262" s="26"/>
    </row>
    <row r="263" spans="59:108" x14ac:dyDescent="0.2"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  <c r="DA263" s="26"/>
      <c r="DB263" s="26"/>
      <c r="DC263" s="26"/>
      <c r="DD263" s="26"/>
    </row>
    <row r="264" spans="59:108" x14ac:dyDescent="0.2"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  <c r="CX264" s="26"/>
      <c r="CY264" s="26"/>
      <c r="CZ264" s="26"/>
      <c r="DA264" s="26"/>
      <c r="DB264" s="26"/>
      <c r="DC264" s="26"/>
      <c r="DD264" s="26"/>
    </row>
    <row r="265" spans="59:108" x14ac:dyDescent="0.2"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  <c r="CX265" s="26"/>
      <c r="CY265" s="26"/>
      <c r="CZ265" s="26"/>
      <c r="DA265" s="26"/>
      <c r="DB265" s="26"/>
      <c r="DC265" s="26"/>
      <c r="DD265" s="26"/>
    </row>
    <row r="266" spans="59:108" x14ac:dyDescent="0.2"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  <c r="CX266" s="26"/>
      <c r="CY266" s="26"/>
      <c r="CZ266" s="26"/>
      <c r="DA266" s="26"/>
      <c r="DB266" s="26"/>
      <c r="DC266" s="26"/>
      <c r="DD266" s="26"/>
    </row>
    <row r="267" spans="59:108" x14ac:dyDescent="0.2"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  <c r="CX267" s="26"/>
      <c r="CY267" s="26"/>
      <c r="CZ267" s="26"/>
      <c r="DA267" s="26"/>
      <c r="DB267" s="26"/>
      <c r="DC267" s="26"/>
      <c r="DD267" s="26"/>
    </row>
    <row r="268" spans="59:108" x14ac:dyDescent="0.2"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  <c r="CX268" s="26"/>
      <c r="CY268" s="26"/>
      <c r="CZ268" s="26"/>
      <c r="DA268" s="26"/>
      <c r="DB268" s="26"/>
      <c r="DC268" s="26"/>
      <c r="DD268" s="26"/>
    </row>
    <row r="269" spans="59:108" x14ac:dyDescent="0.2"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  <c r="CX269" s="26"/>
      <c r="CY269" s="26"/>
      <c r="CZ269" s="26"/>
      <c r="DA269" s="26"/>
      <c r="DB269" s="26"/>
      <c r="DC269" s="26"/>
      <c r="DD269" s="26"/>
    </row>
    <row r="270" spans="59:108" x14ac:dyDescent="0.2"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  <c r="CX270" s="26"/>
      <c r="CY270" s="26"/>
      <c r="CZ270" s="26"/>
      <c r="DA270" s="26"/>
      <c r="DB270" s="26"/>
      <c r="DC270" s="26"/>
      <c r="DD270" s="26"/>
    </row>
    <row r="271" spans="59:108" x14ac:dyDescent="0.2"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  <c r="CX271" s="26"/>
      <c r="CY271" s="26"/>
      <c r="CZ271" s="26"/>
      <c r="DA271" s="26"/>
      <c r="DB271" s="26"/>
      <c r="DC271" s="26"/>
      <c r="DD271" s="26"/>
    </row>
    <row r="272" spans="59:108" x14ac:dyDescent="0.2"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  <c r="CX272" s="26"/>
      <c r="CY272" s="26"/>
      <c r="CZ272" s="26"/>
      <c r="DA272" s="26"/>
      <c r="DB272" s="26"/>
      <c r="DC272" s="26"/>
      <c r="DD272" s="26"/>
    </row>
    <row r="273" spans="59:108" x14ac:dyDescent="0.2"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  <c r="CX273" s="26"/>
      <c r="CY273" s="26"/>
      <c r="CZ273" s="26"/>
      <c r="DA273" s="26"/>
      <c r="DB273" s="26"/>
      <c r="DC273" s="26"/>
      <c r="DD273" s="26"/>
    </row>
    <row r="274" spans="59:108" x14ac:dyDescent="0.2"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  <c r="CX274" s="26"/>
      <c r="CY274" s="26"/>
      <c r="CZ274" s="26"/>
      <c r="DA274" s="26"/>
      <c r="DB274" s="26"/>
      <c r="DC274" s="26"/>
      <c r="DD274" s="26"/>
    </row>
    <row r="275" spans="59:108" x14ac:dyDescent="0.2"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  <c r="CX275" s="26"/>
      <c r="CY275" s="26"/>
      <c r="CZ275" s="26"/>
      <c r="DA275" s="26"/>
      <c r="DB275" s="26"/>
      <c r="DC275" s="26"/>
      <c r="DD275" s="26"/>
    </row>
    <row r="276" spans="59:108" x14ac:dyDescent="0.2"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  <c r="CX276" s="26"/>
      <c r="CY276" s="26"/>
      <c r="CZ276" s="26"/>
      <c r="DA276" s="26"/>
      <c r="DB276" s="26"/>
      <c r="DC276" s="26"/>
      <c r="DD276" s="26"/>
    </row>
    <row r="277" spans="59:108" x14ac:dyDescent="0.2"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  <c r="CX277" s="26"/>
      <c r="CY277" s="26"/>
      <c r="CZ277" s="26"/>
      <c r="DA277" s="26"/>
      <c r="DB277" s="26"/>
      <c r="DC277" s="26"/>
      <c r="DD277" s="26"/>
    </row>
    <row r="278" spans="59:108" x14ac:dyDescent="0.2"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  <c r="CX278" s="26"/>
      <c r="CY278" s="26"/>
      <c r="CZ278" s="26"/>
      <c r="DA278" s="26"/>
      <c r="DB278" s="26"/>
      <c r="DC278" s="26"/>
      <c r="DD278" s="26"/>
    </row>
    <row r="279" spans="59:108" x14ac:dyDescent="0.2"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  <c r="CX279" s="26"/>
      <c r="CY279" s="26"/>
      <c r="CZ279" s="26"/>
      <c r="DA279" s="26"/>
      <c r="DB279" s="26"/>
      <c r="DC279" s="26"/>
      <c r="DD279" s="26"/>
    </row>
    <row r="280" spans="59:108" x14ac:dyDescent="0.2"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  <c r="CX280" s="26"/>
      <c r="CY280" s="26"/>
      <c r="CZ280" s="26"/>
      <c r="DA280" s="26"/>
      <c r="DB280" s="26"/>
      <c r="DC280" s="26"/>
      <c r="DD280" s="26"/>
    </row>
    <row r="281" spans="59:108" x14ac:dyDescent="0.2"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  <c r="DA281" s="26"/>
      <c r="DB281" s="26"/>
      <c r="DC281" s="26"/>
      <c r="DD281" s="26"/>
    </row>
    <row r="282" spans="59:108" x14ac:dyDescent="0.2"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  <c r="CY282" s="26"/>
      <c r="CZ282" s="26"/>
      <c r="DA282" s="26"/>
      <c r="DB282" s="26"/>
      <c r="DC282" s="26"/>
      <c r="DD282" s="26"/>
    </row>
    <row r="283" spans="59:108" x14ac:dyDescent="0.2"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  <c r="CX283" s="26"/>
      <c r="CY283" s="26"/>
      <c r="CZ283" s="26"/>
      <c r="DA283" s="26"/>
      <c r="DB283" s="26"/>
      <c r="DC283" s="26"/>
      <c r="DD283" s="26"/>
    </row>
    <row r="284" spans="59:108" x14ac:dyDescent="0.2"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  <c r="CX284" s="26"/>
      <c r="CY284" s="26"/>
      <c r="CZ284" s="26"/>
      <c r="DA284" s="26"/>
      <c r="DB284" s="26"/>
      <c r="DC284" s="26"/>
      <c r="DD284" s="26"/>
    </row>
    <row r="285" spans="59:108" x14ac:dyDescent="0.2"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  <c r="CX285" s="26"/>
      <c r="CY285" s="26"/>
      <c r="CZ285" s="26"/>
      <c r="DA285" s="26"/>
      <c r="DB285" s="26"/>
      <c r="DC285" s="26"/>
      <c r="DD285" s="26"/>
    </row>
    <row r="286" spans="59:108" x14ac:dyDescent="0.2"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  <c r="CX286" s="26"/>
      <c r="CY286" s="26"/>
      <c r="CZ286" s="26"/>
      <c r="DA286" s="26"/>
      <c r="DB286" s="26"/>
      <c r="DC286" s="26"/>
      <c r="DD286" s="26"/>
    </row>
    <row r="287" spans="59:108" x14ac:dyDescent="0.2"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  <c r="CX287" s="26"/>
      <c r="CY287" s="26"/>
      <c r="CZ287" s="26"/>
      <c r="DA287" s="26"/>
      <c r="DB287" s="26"/>
      <c r="DC287" s="26"/>
      <c r="DD287" s="26"/>
    </row>
    <row r="288" spans="59:108" x14ac:dyDescent="0.2"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  <c r="CX288" s="26"/>
      <c r="CY288" s="26"/>
      <c r="CZ288" s="26"/>
      <c r="DA288" s="26"/>
      <c r="DB288" s="26"/>
      <c r="DC288" s="26"/>
      <c r="DD288" s="26"/>
    </row>
    <row r="289" spans="59:108" x14ac:dyDescent="0.2"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  <c r="CX289" s="26"/>
      <c r="CY289" s="26"/>
      <c r="CZ289" s="26"/>
      <c r="DA289" s="26"/>
      <c r="DB289" s="26"/>
      <c r="DC289" s="26"/>
      <c r="DD289" s="26"/>
    </row>
    <row r="290" spans="59:108" x14ac:dyDescent="0.2"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  <c r="CX290" s="26"/>
      <c r="CY290" s="26"/>
      <c r="CZ290" s="26"/>
      <c r="DA290" s="26"/>
      <c r="DB290" s="26"/>
      <c r="DC290" s="26"/>
      <c r="DD290" s="26"/>
    </row>
    <row r="291" spans="59:108" x14ac:dyDescent="0.2"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  <c r="CX291" s="26"/>
      <c r="CY291" s="26"/>
      <c r="CZ291" s="26"/>
      <c r="DA291" s="26"/>
      <c r="DB291" s="26"/>
      <c r="DC291" s="26"/>
      <c r="DD291" s="26"/>
    </row>
    <row r="292" spans="59:108" x14ac:dyDescent="0.2"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  <c r="CX292" s="26"/>
      <c r="CY292" s="26"/>
      <c r="CZ292" s="26"/>
      <c r="DA292" s="26"/>
      <c r="DB292" s="26"/>
      <c r="DC292" s="26"/>
      <c r="DD292" s="26"/>
    </row>
    <row r="293" spans="59:108" x14ac:dyDescent="0.2"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  <c r="CX293" s="26"/>
      <c r="CY293" s="26"/>
      <c r="CZ293" s="26"/>
      <c r="DA293" s="26"/>
      <c r="DB293" s="26"/>
      <c r="DC293" s="26"/>
      <c r="DD293" s="26"/>
    </row>
    <row r="294" spans="59:108" x14ac:dyDescent="0.2"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  <c r="CX294" s="26"/>
      <c r="CY294" s="26"/>
      <c r="CZ294" s="26"/>
      <c r="DA294" s="26"/>
      <c r="DB294" s="26"/>
      <c r="DC294" s="26"/>
      <c r="DD294" s="26"/>
    </row>
    <row r="295" spans="59:108" x14ac:dyDescent="0.2"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  <c r="CX295" s="26"/>
      <c r="CY295" s="26"/>
      <c r="CZ295" s="26"/>
      <c r="DA295" s="26"/>
      <c r="DB295" s="26"/>
      <c r="DC295" s="26"/>
      <c r="DD295" s="26"/>
    </row>
    <row r="296" spans="59:108" x14ac:dyDescent="0.2"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  <c r="CX296" s="26"/>
      <c r="CY296" s="26"/>
      <c r="CZ296" s="26"/>
      <c r="DA296" s="26"/>
      <c r="DB296" s="26"/>
      <c r="DC296" s="26"/>
      <c r="DD296" s="26"/>
    </row>
    <row r="297" spans="59:108" x14ac:dyDescent="0.2"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  <c r="CX297" s="26"/>
      <c r="CY297" s="26"/>
      <c r="CZ297" s="26"/>
      <c r="DA297" s="26"/>
      <c r="DB297" s="26"/>
      <c r="DC297" s="26"/>
      <c r="DD297" s="26"/>
    </row>
    <row r="298" spans="59:108" x14ac:dyDescent="0.2"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  <c r="CX298" s="26"/>
      <c r="CY298" s="26"/>
      <c r="CZ298" s="26"/>
      <c r="DA298" s="26"/>
      <c r="DB298" s="26"/>
      <c r="DC298" s="26"/>
      <c r="DD298" s="26"/>
    </row>
    <row r="299" spans="59:108" x14ac:dyDescent="0.2"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  <c r="CX299" s="26"/>
      <c r="CY299" s="26"/>
      <c r="CZ299" s="26"/>
      <c r="DA299" s="26"/>
      <c r="DB299" s="26"/>
      <c r="DC299" s="26"/>
      <c r="DD299" s="26"/>
    </row>
    <row r="300" spans="59:108" x14ac:dyDescent="0.2"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  <c r="CX300" s="26"/>
      <c r="CY300" s="26"/>
      <c r="CZ300" s="26"/>
      <c r="DA300" s="26"/>
      <c r="DB300" s="26"/>
      <c r="DC300" s="26"/>
      <c r="DD300" s="26"/>
    </row>
    <row r="301" spans="59:108" x14ac:dyDescent="0.2"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26"/>
      <c r="CP301" s="26"/>
      <c r="CQ301" s="26"/>
      <c r="CR301" s="26"/>
      <c r="CS301" s="26"/>
      <c r="CT301" s="26"/>
      <c r="CU301" s="26"/>
      <c r="CV301" s="26"/>
      <c r="CW301" s="26"/>
      <c r="CX301" s="26"/>
      <c r="CY301" s="26"/>
      <c r="CZ301" s="26"/>
      <c r="DA301" s="26"/>
      <c r="DB301" s="26"/>
      <c r="DC301" s="26"/>
      <c r="DD301" s="26"/>
    </row>
    <row r="302" spans="59:108" x14ac:dyDescent="0.2"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26"/>
      <c r="CP302" s="26"/>
      <c r="CQ302" s="26"/>
      <c r="CR302" s="26"/>
      <c r="CS302" s="26"/>
      <c r="CT302" s="26"/>
      <c r="CU302" s="26"/>
      <c r="CV302" s="26"/>
      <c r="CW302" s="26"/>
      <c r="CX302" s="26"/>
      <c r="CY302" s="26"/>
      <c r="CZ302" s="26"/>
      <c r="DA302" s="26"/>
      <c r="DB302" s="26"/>
      <c r="DC302" s="26"/>
      <c r="DD302" s="26"/>
    </row>
    <row r="303" spans="59:108" x14ac:dyDescent="0.2"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26"/>
      <c r="CP303" s="26"/>
      <c r="CQ303" s="26"/>
      <c r="CR303" s="26"/>
      <c r="CS303" s="26"/>
      <c r="CT303" s="26"/>
      <c r="CU303" s="26"/>
      <c r="CV303" s="26"/>
      <c r="CW303" s="26"/>
      <c r="CX303" s="26"/>
      <c r="CY303" s="26"/>
      <c r="CZ303" s="26"/>
      <c r="DA303" s="26"/>
      <c r="DB303" s="26"/>
      <c r="DC303" s="26"/>
      <c r="DD303" s="26"/>
    </row>
    <row r="304" spans="59:108" x14ac:dyDescent="0.2"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26"/>
      <c r="CP304" s="26"/>
      <c r="CQ304" s="26"/>
      <c r="CR304" s="26"/>
      <c r="CS304" s="26"/>
      <c r="CT304" s="26"/>
      <c r="CU304" s="26"/>
      <c r="CV304" s="26"/>
      <c r="CW304" s="26"/>
      <c r="CX304" s="26"/>
      <c r="CY304" s="26"/>
      <c r="CZ304" s="26"/>
      <c r="DA304" s="26"/>
      <c r="DB304" s="26"/>
      <c r="DC304" s="26"/>
      <c r="DD304" s="26"/>
    </row>
    <row r="305" spans="59:108" x14ac:dyDescent="0.2"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26"/>
      <c r="CP305" s="26"/>
      <c r="CQ305" s="26"/>
      <c r="CR305" s="26"/>
      <c r="CS305" s="26"/>
      <c r="CT305" s="26"/>
      <c r="CU305" s="26"/>
      <c r="CV305" s="26"/>
      <c r="CW305" s="26"/>
      <c r="CX305" s="26"/>
      <c r="CY305" s="26"/>
      <c r="CZ305" s="26"/>
      <c r="DA305" s="26"/>
      <c r="DB305" s="26"/>
      <c r="DC305" s="26"/>
      <c r="DD305" s="26"/>
    </row>
    <row r="306" spans="59:108" x14ac:dyDescent="0.2">
      <c r="BG306" s="26"/>
      <c r="BH306" s="26"/>
      <c r="BI306" s="26"/>
      <c r="BJ306" s="26"/>
      <c r="BK306" s="26"/>
      <c r="BL306" s="26"/>
      <c r="BM306" s="26"/>
      <c r="BN306" s="26"/>
      <c r="BO306" s="26"/>
      <c r="BP306" s="26"/>
      <c r="BQ306" s="26"/>
      <c r="BR306" s="26"/>
      <c r="BS306" s="26"/>
      <c r="BT306" s="26"/>
      <c r="BU306" s="26"/>
      <c r="BV306" s="26"/>
      <c r="BW306" s="26"/>
      <c r="BX306" s="26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26"/>
      <c r="CP306" s="26"/>
      <c r="CQ306" s="26"/>
      <c r="CR306" s="26"/>
      <c r="CS306" s="26"/>
      <c r="CT306" s="26"/>
      <c r="CU306" s="26"/>
      <c r="CV306" s="26"/>
      <c r="CW306" s="26"/>
      <c r="CX306" s="26"/>
      <c r="CY306" s="26"/>
      <c r="CZ306" s="26"/>
      <c r="DA306" s="26"/>
      <c r="DB306" s="26"/>
      <c r="DC306" s="26"/>
      <c r="DD306" s="26"/>
    </row>
    <row r="307" spans="59:108" x14ac:dyDescent="0.2">
      <c r="BG307" s="26"/>
      <c r="BH307" s="26"/>
      <c r="BI307" s="26"/>
      <c r="BJ307" s="26"/>
      <c r="BK307" s="26"/>
      <c r="BL307" s="26"/>
      <c r="BM307" s="26"/>
      <c r="BN307" s="26"/>
      <c r="BO307" s="26"/>
      <c r="BP307" s="26"/>
      <c r="BQ307" s="26"/>
      <c r="BR307" s="26"/>
      <c r="BS307" s="26"/>
      <c r="BT307" s="26"/>
      <c r="BU307" s="26"/>
      <c r="BV307" s="26"/>
      <c r="BW307" s="26"/>
      <c r="BX307" s="26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26"/>
      <c r="CP307" s="26"/>
      <c r="CQ307" s="26"/>
      <c r="CR307" s="26"/>
      <c r="CS307" s="26"/>
      <c r="CT307" s="26"/>
      <c r="CU307" s="26"/>
      <c r="CV307" s="26"/>
      <c r="CW307" s="26"/>
      <c r="CX307" s="26"/>
      <c r="CY307" s="26"/>
      <c r="CZ307" s="26"/>
      <c r="DA307" s="26"/>
      <c r="DB307" s="26"/>
      <c r="DC307" s="26"/>
      <c r="DD307" s="26"/>
    </row>
    <row r="308" spans="59:108" x14ac:dyDescent="0.2">
      <c r="BG308" s="26"/>
      <c r="BH308" s="26"/>
      <c r="BI308" s="26"/>
      <c r="BJ308" s="26"/>
      <c r="BK308" s="26"/>
      <c r="BL308" s="26"/>
      <c r="BM308" s="26"/>
      <c r="BN308" s="26"/>
      <c r="BO308" s="26"/>
      <c r="BP308" s="26"/>
      <c r="BQ308" s="26"/>
      <c r="BR308" s="26"/>
      <c r="BS308" s="26"/>
      <c r="BT308" s="26"/>
      <c r="BU308" s="26"/>
      <c r="BV308" s="26"/>
      <c r="BW308" s="26"/>
      <c r="BX308" s="26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26"/>
      <c r="CP308" s="26"/>
      <c r="CQ308" s="26"/>
      <c r="CR308" s="26"/>
      <c r="CS308" s="26"/>
      <c r="CT308" s="26"/>
      <c r="CU308" s="26"/>
      <c r="CV308" s="26"/>
      <c r="CW308" s="26"/>
      <c r="CX308" s="26"/>
      <c r="CY308" s="26"/>
      <c r="CZ308" s="26"/>
      <c r="DA308" s="26"/>
      <c r="DB308" s="26"/>
      <c r="DC308" s="26"/>
      <c r="DD308" s="26"/>
    </row>
    <row r="309" spans="59:108" x14ac:dyDescent="0.2">
      <c r="BG309" s="26"/>
      <c r="BH309" s="26"/>
      <c r="BI309" s="26"/>
      <c r="BJ309" s="26"/>
      <c r="BK309" s="26"/>
      <c r="BL309" s="26"/>
      <c r="BM309" s="26"/>
      <c r="BN309" s="26"/>
      <c r="BO309" s="26"/>
      <c r="BP309" s="26"/>
      <c r="BQ309" s="26"/>
      <c r="BR309" s="26"/>
      <c r="BS309" s="26"/>
      <c r="BT309" s="26"/>
      <c r="BU309" s="26"/>
      <c r="BV309" s="26"/>
      <c r="BW309" s="26"/>
      <c r="BX309" s="26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26"/>
      <c r="CP309" s="26"/>
      <c r="CQ309" s="26"/>
      <c r="CR309" s="26"/>
      <c r="CS309" s="26"/>
      <c r="CT309" s="26"/>
      <c r="CU309" s="26"/>
      <c r="CV309" s="26"/>
      <c r="CW309" s="26"/>
      <c r="CX309" s="26"/>
      <c r="CY309" s="26"/>
      <c r="CZ309" s="26"/>
      <c r="DA309" s="26"/>
      <c r="DB309" s="26"/>
      <c r="DC309" s="26"/>
      <c r="DD309" s="26"/>
    </row>
    <row r="310" spans="59:108" x14ac:dyDescent="0.2">
      <c r="BG310" s="26"/>
      <c r="BH310" s="26"/>
      <c r="BI310" s="26"/>
      <c r="BJ310" s="26"/>
      <c r="BK310" s="26"/>
      <c r="BL310" s="26"/>
      <c r="BM310" s="26"/>
      <c r="BN310" s="26"/>
      <c r="BO310" s="26"/>
      <c r="BP310" s="26"/>
      <c r="BQ310" s="26"/>
      <c r="BR310" s="26"/>
      <c r="BS310" s="26"/>
      <c r="BT310" s="26"/>
      <c r="BU310" s="26"/>
      <c r="BV310" s="26"/>
      <c r="BW310" s="26"/>
      <c r="BX310" s="26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26"/>
      <c r="CP310" s="26"/>
      <c r="CQ310" s="26"/>
      <c r="CR310" s="26"/>
      <c r="CS310" s="26"/>
      <c r="CT310" s="26"/>
      <c r="CU310" s="26"/>
      <c r="CV310" s="26"/>
      <c r="CW310" s="26"/>
      <c r="CX310" s="26"/>
      <c r="CY310" s="26"/>
      <c r="CZ310" s="26"/>
      <c r="DA310" s="26"/>
      <c r="DB310" s="26"/>
      <c r="DC310" s="26"/>
      <c r="DD310" s="26"/>
    </row>
    <row r="311" spans="59:108" x14ac:dyDescent="0.2">
      <c r="BG311" s="26"/>
      <c r="BH311" s="26"/>
      <c r="BI311" s="26"/>
      <c r="BJ311" s="26"/>
      <c r="BK311" s="26"/>
      <c r="BL311" s="26"/>
      <c r="BM311" s="26"/>
      <c r="BN311" s="26"/>
      <c r="BO311" s="26"/>
      <c r="BP311" s="26"/>
      <c r="BQ311" s="26"/>
      <c r="BR311" s="26"/>
      <c r="BS311" s="26"/>
      <c r="BT311" s="26"/>
      <c r="BU311" s="26"/>
      <c r="BV311" s="26"/>
      <c r="BW311" s="26"/>
      <c r="BX311" s="26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26"/>
      <c r="CP311" s="26"/>
      <c r="CQ311" s="26"/>
      <c r="CR311" s="26"/>
      <c r="CS311" s="26"/>
      <c r="CT311" s="26"/>
      <c r="CU311" s="26"/>
      <c r="CV311" s="26"/>
      <c r="CW311" s="26"/>
      <c r="CX311" s="26"/>
      <c r="CY311" s="26"/>
      <c r="CZ311" s="26"/>
      <c r="DA311" s="26"/>
      <c r="DB311" s="26"/>
      <c r="DC311" s="26"/>
      <c r="DD311" s="26"/>
    </row>
    <row r="312" spans="59:108" x14ac:dyDescent="0.2">
      <c r="BG312" s="26"/>
      <c r="BH312" s="26"/>
      <c r="BI312" s="26"/>
      <c r="BJ312" s="26"/>
      <c r="BK312" s="26"/>
      <c r="BL312" s="26"/>
      <c r="BM312" s="26"/>
      <c r="BN312" s="26"/>
      <c r="BO312" s="26"/>
      <c r="BP312" s="26"/>
      <c r="BQ312" s="26"/>
      <c r="BR312" s="26"/>
      <c r="BS312" s="26"/>
      <c r="BT312" s="26"/>
      <c r="BU312" s="26"/>
      <c r="BV312" s="26"/>
      <c r="BW312" s="26"/>
      <c r="BX312" s="26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26"/>
      <c r="CP312" s="26"/>
      <c r="CQ312" s="26"/>
      <c r="CR312" s="26"/>
      <c r="CS312" s="26"/>
      <c r="CT312" s="26"/>
      <c r="CU312" s="26"/>
      <c r="CV312" s="26"/>
      <c r="CW312" s="26"/>
      <c r="CX312" s="26"/>
      <c r="CY312" s="26"/>
      <c r="CZ312" s="26"/>
      <c r="DA312" s="26"/>
      <c r="DB312" s="26"/>
      <c r="DC312" s="26"/>
      <c r="DD312" s="26"/>
    </row>
    <row r="313" spans="59:108" x14ac:dyDescent="0.2">
      <c r="BG313" s="26"/>
      <c r="BH313" s="26"/>
      <c r="BI313" s="26"/>
      <c r="BJ313" s="26"/>
      <c r="BK313" s="26"/>
      <c r="BL313" s="26"/>
      <c r="BM313" s="26"/>
      <c r="BN313" s="26"/>
      <c r="BO313" s="26"/>
      <c r="BP313" s="26"/>
      <c r="BQ313" s="26"/>
      <c r="BR313" s="26"/>
      <c r="BS313" s="26"/>
      <c r="BT313" s="26"/>
      <c r="BU313" s="26"/>
      <c r="BV313" s="26"/>
      <c r="BW313" s="26"/>
      <c r="BX313" s="26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26"/>
      <c r="CP313" s="26"/>
      <c r="CQ313" s="26"/>
      <c r="CR313" s="26"/>
      <c r="CS313" s="26"/>
      <c r="CT313" s="26"/>
      <c r="CU313" s="26"/>
      <c r="CV313" s="26"/>
      <c r="CW313" s="26"/>
      <c r="CX313" s="26"/>
      <c r="CY313" s="26"/>
      <c r="CZ313" s="26"/>
      <c r="DA313" s="26"/>
      <c r="DB313" s="26"/>
      <c r="DC313" s="26"/>
      <c r="DD313" s="26"/>
    </row>
    <row r="314" spans="59:108" x14ac:dyDescent="0.2">
      <c r="BG314" s="26"/>
      <c r="BH314" s="26"/>
      <c r="BI314" s="26"/>
      <c r="BJ314" s="26"/>
      <c r="BK314" s="26"/>
      <c r="BL314" s="26"/>
      <c r="BM314" s="26"/>
      <c r="BN314" s="26"/>
      <c r="BO314" s="26"/>
      <c r="BP314" s="26"/>
      <c r="BQ314" s="26"/>
      <c r="BR314" s="26"/>
      <c r="BS314" s="26"/>
      <c r="BT314" s="26"/>
      <c r="BU314" s="26"/>
      <c r="BV314" s="26"/>
      <c r="BW314" s="26"/>
      <c r="BX314" s="26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26"/>
      <c r="CP314" s="26"/>
      <c r="CQ314" s="26"/>
      <c r="CR314" s="26"/>
      <c r="CS314" s="26"/>
      <c r="CT314" s="26"/>
      <c r="CU314" s="26"/>
      <c r="CV314" s="26"/>
      <c r="CW314" s="26"/>
      <c r="CX314" s="26"/>
      <c r="CY314" s="26"/>
      <c r="CZ314" s="26"/>
      <c r="DA314" s="26"/>
      <c r="DB314" s="26"/>
      <c r="DC314" s="26"/>
      <c r="DD314" s="26"/>
    </row>
    <row r="315" spans="59:108" x14ac:dyDescent="0.2">
      <c r="BG315" s="26"/>
      <c r="BH315" s="26"/>
      <c r="BI315" s="26"/>
      <c r="BJ315" s="26"/>
      <c r="BK315" s="26"/>
      <c r="BL315" s="26"/>
      <c r="BM315" s="26"/>
      <c r="BN315" s="26"/>
      <c r="BO315" s="26"/>
      <c r="BP315" s="26"/>
      <c r="BQ315" s="26"/>
      <c r="BR315" s="26"/>
      <c r="BS315" s="26"/>
      <c r="BT315" s="26"/>
      <c r="BU315" s="26"/>
      <c r="BV315" s="26"/>
      <c r="BW315" s="26"/>
      <c r="BX315" s="26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26"/>
      <c r="CP315" s="26"/>
      <c r="CQ315" s="26"/>
      <c r="CR315" s="26"/>
      <c r="CS315" s="26"/>
      <c r="CT315" s="26"/>
      <c r="CU315" s="26"/>
      <c r="CV315" s="26"/>
      <c r="CW315" s="26"/>
      <c r="CX315" s="26"/>
      <c r="CY315" s="26"/>
      <c r="CZ315" s="26"/>
      <c r="DA315" s="26"/>
      <c r="DB315" s="26"/>
      <c r="DC315" s="26"/>
      <c r="DD315" s="26"/>
    </row>
    <row r="316" spans="59:108" x14ac:dyDescent="0.2">
      <c r="BG316" s="26"/>
      <c r="BH316" s="26"/>
      <c r="BI316" s="26"/>
      <c r="BJ316" s="26"/>
      <c r="BK316" s="26"/>
      <c r="BL316" s="26"/>
      <c r="BM316" s="26"/>
      <c r="BN316" s="26"/>
      <c r="BO316" s="26"/>
      <c r="BP316" s="26"/>
      <c r="BQ316" s="26"/>
      <c r="BR316" s="26"/>
      <c r="BS316" s="26"/>
      <c r="BT316" s="26"/>
      <c r="BU316" s="26"/>
      <c r="BV316" s="26"/>
      <c r="BW316" s="26"/>
      <c r="BX316" s="26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26"/>
      <c r="CP316" s="26"/>
      <c r="CQ316" s="26"/>
      <c r="CR316" s="26"/>
      <c r="CS316" s="26"/>
      <c r="CT316" s="26"/>
      <c r="CU316" s="26"/>
      <c r="CV316" s="26"/>
      <c r="CW316" s="26"/>
      <c r="CX316" s="26"/>
      <c r="CY316" s="26"/>
      <c r="CZ316" s="26"/>
      <c r="DA316" s="26"/>
      <c r="DB316" s="26"/>
      <c r="DC316" s="26"/>
      <c r="DD316" s="26"/>
    </row>
    <row r="317" spans="59:108" x14ac:dyDescent="0.2">
      <c r="BG317" s="26"/>
      <c r="BH317" s="26"/>
      <c r="BI317" s="26"/>
      <c r="BJ317" s="26"/>
      <c r="BK317" s="26"/>
      <c r="BL317" s="26"/>
      <c r="BM317" s="26"/>
      <c r="BN317" s="26"/>
      <c r="BO317" s="26"/>
      <c r="BP317" s="26"/>
      <c r="BQ317" s="26"/>
      <c r="BR317" s="26"/>
      <c r="BS317" s="26"/>
      <c r="BT317" s="26"/>
      <c r="BU317" s="26"/>
      <c r="BV317" s="26"/>
      <c r="BW317" s="26"/>
      <c r="BX317" s="26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26"/>
      <c r="CP317" s="26"/>
      <c r="CQ317" s="26"/>
      <c r="CR317" s="26"/>
      <c r="CS317" s="26"/>
      <c r="CT317" s="26"/>
      <c r="CU317" s="26"/>
      <c r="CV317" s="26"/>
      <c r="CW317" s="26"/>
      <c r="CX317" s="26"/>
      <c r="CY317" s="26"/>
      <c r="CZ317" s="26"/>
      <c r="DA317" s="26"/>
      <c r="DB317" s="26"/>
      <c r="DC317" s="26"/>
      <c r="DD317" s="26"/>
    </row>
    <row r="318" spans="59:108" x14ac:dyDescent="0.2">
      <c r="BG318" s="26"/>
      <c r="BH318" s="26"/>
      <c r="BI318" s="26"/>
      <c r="BJ318" s="26"/>
      <c r="BK318" s="26"/>
      <c r="BL318" s="26"/>
      <c r="BM318" s="26"/>
      <c r="BN318" s="26"/>
      <c r="BO318" s="26"/>
      <c r="BP318" s="26"/>
      <c r="BQ318" s="26"/>
      <c r="BR318" s="26"/>
      <c r="BS318" s="26"/>
      <c r="BT318" s="26"/>
      <c r="BU318" s="26"/>
      <c r="BV318" s="26"/>
      <c r="BW318" s="26"/>
      <c r="BX318" s="26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26"/>
      <c r="CP318" s="26"/>
      <c r="CQ318" s="26"/>
      <c r="CR318" s="26"/>
      <c r="CS318" s="26"/>
      <c r="CT318" s="26"/>
      <c r="CU318" s="26"/>
      <c r="CV318" s="26"/>
      <c r="CW318" s="26"/>
      <c r="CX318" s="26"/>
      <c r="CY318" s="26"/>
      <c r="CZ318" s="26"/>
      <c r="DA318" s="26"/>
      <c r="DB318" s="26"/>
      <c r="DC318" s="26"/>
      <c r="DD318" s="26"/>
    </row>
    <row r="319" spans="59:108" x14ac:dyDescent="0.2">
      <c r="BG319" s="26"/>
      <c r="BH319" s="26"/>
      <c r="BI319" s="26"/>
      <c r="BJ319" s="26"/>
      <c r="BK319" s="26"/>
      <c r="BL319" s="26"/>
      <c r="BM319" s="26"/>
      <c r="BN319" s="26"/>
      <c r="BO319" s="26"/>
      <c r="BP319" s="26"/>
      <c r="BQ319" s="26"/>
      <c r="BR319" s="26"/>
      <c r="BS319" s="26"/>
      <c r="BT319" s="26"/>
      <c r="BU319" s="26"/>
      <c r="BV319" s="26"/>
      <c r="BW319" s="26"/>
      <c r="BX319" s="26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26"/>
      <c r="CP319" s="26"/>
      <c r="CQ319" s="26"/>
      <c r="CR319" s="26"/>
      <c r="CS319" s="26"/>
      <c r="CT319" s="26"/>
      <c r="CU319" s="26"/>
      <c r="CV319" s="26"/>
      <c r="CW319" s="26"/>
      <c r="CX319" s="26"/>
      <c r="CY319" s="26"/>
      <c r="CZ319" s="26"/>
      <c r="DA319" s="26"/>
      <c r="DB319" s="26"/>
      <c r="DC319" s="26"/>
      <c r="DD319" s="26"/>
    </row>
    <row r="320" spans="59:108" x14ac:dyDescent="0.2">
      <c r="BG320" s="26"/>
      <c r="BH320" s="26"/>
      <c r="BI320" s="26"/>
      <c r="BJ320" s="26"/>
      <c r="BK320" s="26"/>
      <c r="BL320" s="26"/>
      <c r="BM320" s="26"/>
      <c r="BN320" s="26"/>
      <c r="BO320" s="26"/>
      <c r="BP320" s="26"/>
      <c r="BQ320" s="26"/>
      <c r="BR320" s="26"/>
      <c r="BS320" s="26"/>
      <c r="BT320" s="26"/>
      <c r="BU320" s="26"/>
      <c r="BV320" s="26"/>
      <c r="BW320" s="26"/>
      <c r="BX320" s="26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26"/>
      <c r="CP320" s="26"/>
      <c r="CQ320" s="26"/>
      <c r="CR320" s="26"/>
      <c r="CS320" s="26"/>
      <c r="CT320" s="26"/>
      <c r="CU320" s="26"/>
      <c r="CV320" s="26"/>
      <c r="CW320" s="26"/>
      <c r="CX320" s="26"/>
      <c r="CY320" s="26"/>
      <c r="CZ320" s="26"/>
      <c r="DA320" s="26"/>
      <c r="DB320" s="26"/>
      <c r="DC320" s="26"/>
      <c r="DD320" s="26"/>
    </row>
    <row r="321" spans="59:108" x14ac:dyDescent="0.2">
      <c r="BG321" s="26"/>
      <c r="BH321" s="26"/>
      <c r="BI321" s="26"/>
      <c r="BJ321" s="26"/>
      <c r="BK321" s="26"/>
      <c r="BL321" s="26"/>
      <c r="BM321" s="26"/>
      <c r="BN321" s="26"/>
      <c r="BO321" s="26"/>
      <c r="BP321" s="26"/>
      <c r="BQ321" s="26"/>
      <c r="BR321" s="26"/>
      <c r="BS321" s="26"/>
      <c r="BT321" s="26"/>
      <c r="BU321" s="26"/>
      <c r="BV321" s="26"/>
      <c r="BW321" s="26"/>
      <c r="BX321" s="26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26"/>
      <c r="CP321" s="26"/>
      <c r="CQ321" s="26"/>
      <c r="CR321" s="26"/>
      <c r="CS321" s="26"/>
      <c r="CT321" s="26"/>
      <c r="CU321" s="26"/>
      <c r="CV321" s="26"/>
      <c r="CW321" s="26"/>
      <c r="CX321" s="26"/>
      <c r="CY321" s="26"/>
      <c r="CZ321" s="26"/>
      <c r="DA321" s="26"/>
      <c r="DB321" s="26"/>
      <c r="DC321" s="26"/>
      <c r="DD321" s="26"/>
    </row>
    <row r="322" spans="59:108" x14ac:dyDescent="0.2">
      <c r="BG322" s="26"/>
      <c r="BH322" s="26"/>
      <c r="BI322" s="26"/>
      <c r="BJ322" s="26"/>
      <c r="BK322" s="26"/>
      <c r="BL322" s="26"/>
      <c r="BM322" s="26"/>
      <c r="BN322" s="26"/>
      <c r="BO322" s="26"/>
      <c r="BP322" s="26"/>
      <c r="BQ322" s="26"/>
      <c r="BR322" s="26"/>
      <c r="BS322" s="26"/>
      <c r="BT322" s="26"/>
      <c r="BU322" s="26"/>
      <c r="BV322" s="26"/>
      <c r="BW322" s="26"/>
      <c r="BX322" s="26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26"/>
      <c r="CP322" s="26"/>
      <c r="CQ322" s="26"/>
      <c r="CR322" s="26"/>
      <c r="CS322" s="26"/>
      <c r="CT322" s="26"/>
      <c r="CU322" s="26"/>
      <c r="CV322" s="26"/>
      <c r="CW322" s="26"/>
      <c r="CX322" s="26"/>
      <c r="CY322" s="26"/>
      <c r="CZ322" s="26"/>
      <c r="DA322" s="26"/>
      <c r="DB322" s="26"/>
      <c r="DC322" s="26"/>
      <c r="DD322" s="26"/>
    </row>
    <row r="323" spans="59:108" x14ac:dyDescent="0.2">
      <c r="BG323" s="26"/>
      <c r="BH323" s="26"/>
      <c r="BI323" s="26"/>
      <c r="BJ323" s="26"/>
      <c r="BK323" s="26"/>
      <c r="BL323" s="26"/>
      <c r="BM323" s="26"/>
      <c r="BN323" s="26"/>
      <c r="BO323" s="26"/>
      <c r="BP323" s="26"/>
      <c r="BQ323" s="26"/>
      <c r="BR323" s="26"/>
      <c r="BS323" s="26"/>
      <c r="BT323" s="26"/>
      <c r="BU323" s="26"/>
      <c r="BV323" s="26"/>
      <c r="BW323" s="26"/>
      <c r="BX323" s="26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26"/>
      <c r="CP323" s="26"/>
      <c r="CQ323" s="26"/>
      <c r="CR323" s="26"/>
      <c r="CS323" s="26"/>
      <c r="CT323" s="26"/>
      <c r="CU323" s="26"/>
      <c r="CV323" s="26"/>
      <c r="CW323" s="26"/>
      <c r="CX323" s="26"/>
      <c r="CY323" s="26"/>
      <c r="CZ323" s="26"/>
      <c r="DA323" s="26"/>
      <c r="DB323" s="26"/>
      <c r="DC323" s="26"/>
      <c r="DD323" s="26"/>
    </row>
    <row r="324" spans="59:108" x14ac:dyDescent="0.2">
      <c r="BG324" s="26"/>
      <c r="BH324" s="26"/>
      <c r="BI324" s="26"/>
      <c r="BJ324" s="26"/>
      <c r="BK324" s="26"/>
      <c r="BL324" s="26"/>
      <c r="BM324" s="26"/>
      <c r="BN324" s="26"/>
      <c r="BO324" s="26"/>
      <c r="BP324" s="26"/>
      <c r="BQ324" s="26"/>
      <c r="BR324" s="26"/>
      <c r="BS324" s="26"/>
      <c r="BT324" s="26"/>
      <c r="BU324" s="26"/>
      <c r="BV324" s="26"/>
      <c r="BW324" s="26"/>
      <c r="BX324" s="26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26"/>
      <c r="CP324" s="26"/>
      <c r="CQ324" s="26"/>
      <c r="CR324" s="26"/>
      <c r="CS324" s="26"/>
      <c r="CT324" s="26"/>
      <c r="CU324" s="26"/>
      <c r="CV324" s="26"/>
      <c r="CW324" s="26"/>
      <c r="CX324" s="26"/>
      <c r="CY324" s="26"/>
      <c r="CZ324" s="26"/>
      <c r="DA324" s="26"/>
      <c r="DB324" s="26"/>
      <c r="DC324" s="26"/>
      <c r="DD324" s="26"/>
    </row>
    <row r="325" spans="59:108" x14ac:dyDescent="0.2">
      <c r="BG325" s="26"/>
      <c r="BH325" s="26"/>
      <c r="BI325" s="26"/>
      <c r="BJ325" s="26"/>
      <c r="BK325" s="26"/>
      <c r="BL325" s="26"/>
      <c r="BM325" s="26"/>
      <c r="BN325" s="26"/>
      <c r="BO325" s="26"/>
      <c r="BP325" s="26"/>
      <c r="BQ325" s="26"/>
      <c r="BR325" s="26"/>
      <c r="BS325" s="26"/>
      <c r="BT325" s="26"/>
      <c r="BU325" s="26"/>
      <c r="BV325" s="26"/>
      <c r="BW325" s="26"/>
      <c r="BX325" s="26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26"/>
      <c r="CP325" s="26"/>
      <c r="CQ325" s="26"/>
      <c r="CR325" s="26"/>
      <c r="CS325" s="26"/>
      <c r="CT325" s="26"/>
      <c r="CU325" s="26"/>
      <c r="CV325" s="26"/>
      <c r="CW325" s="26"/>
      <c r="CX325" s="26"/>
      <c r="CY325" s="26"/>
      <c r="CZ325" s="26"/>
      <c r="DA325" s="26"/>
      <c r="DB325" s="26"/>
      <c r="DC325" s="26"/>
      <c r="DD325" s="26"/>
    </row>
    <row r="326" spans="59:108" x14ac:dyDescent="0.2">
      <c r="BG326" s="26"/>
      <c r="BH326" s="26"/>
      <c r="BI326" s="26"/>
      <c r="BJ326" s="26"/>
      <c r="BK326" s="26"/>
      <c r="BL326" s="26"/>
      <c r="BM326" s="26"/>
      <c r="BN326" s="26"/>
      <c r="BO326" s="26"/>
      <c r="BP326" s="26"/>
      <c r="BQ326" s="26"/>
      <c r="BR326" s="26"/>
      <c r="BS326" s="26"/>
      <c r="BT326" s="26"/>
      <c r="BU326" s="26"/>
      <c r="BV326" s="26"/>
      <c r="BW326" s="26"/>
      <c r="BX326" s="26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26"/>
      <c r="CP326" s="26"/>
      <c r="CQ326" s="26"/>
      <c r="CR326" s="26"/>
      <c r="CS326" s="26"/>
      <c r="CT326" s="26"/>
      <c r="CU326" s="26"/>
      <c r="CV326" s="26"/>
      <c r="CW326" s="26"/>
      <c r="CX326" s="26"/>
      <c r="CY326" s="26"/>
      <c r="CZ326" s="26"/>
      <c r="DA326" s="26"/>
      <c r="DB326" s="26"/>
      <c r="DC326" s="26"/>
      <c r="DD326" s="26"/>
    </row>
    <row r="327" spans="59:108" x14ac:dyDescent="0.2">
      <c r="BG327" s="26"/>
      <c r="BH327" s="26"/>
      <c r="BI327" s="26"/>
      <c r="BJ327" s="26"/>
      <c r="BK327" s="26"/>
      <c r="BL327" s="26"/>
      <c r="BM327" s="26"/>
      <c r="BN327" s="26"/>
      <c r="BO327" s="26"/>
      <c r="BP327" s="26"/>
      <c r="BQ327" s="26"/>
      <c r="BR327" s="26"/>
      <c r="BS327" s="26"/>
      <c r="BT327" s="26"/>
      <c r="BU327" s="26"/>
      <c r="BV327" s="26"/>
      <c r="BW327" s="26"/>
      <c r="BX327" s="26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26"/>
      <c r="CP327" s="26"/>
      <c r="CQ327" s="26"/>
      <c r="CR327" s="26"/>
      <c r="CS327" s="26"/>
      <c r="CT327" s="26"/>
      <c r="CU327" s="26"/>
      <c r="CV327" s="26"/>
      <c r="CW327" s="26"/>
      <c r="CX327" s="26"/>
      <c r="CY327" s="26"/>
      <c r="CZ327" s="26"/>
      <c r="DA327" s="26"/>
      <c r="DB327" s="26"/>
      <c r="DC327" s="26"/>
      <c r="DD327" s="26"/>
    </row>
    <row r="328" spans="59:108" x14ac:dyDescent="0.2">
      <c r="BG328" s="26"/>
      <c r="BH328" s="26"/>
      <c r="BI328" s="26"/>
      <c r="BJ328" s="26"/>
      <c r="BK328" s="26"/>
      <c r="BL328" s="26"/>
      <c r="BM328" s="26"/>
      <c r="BN328" s="26"/>
      <c r="BO328" s="26"/>
      <c r="BP328" s="26"/>
      <c r="BQ328" s="26"/>
      <c r="BR328" s="26"/>
      <c r="BS328" s="26"/>
      <c r="BT328" s="26"/>
      <c r="BU328" s="26"/>
      <c r="BV328" s="26"/>
      <c r="BW328" s="26"/>
      <c r="BX328" s="26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26"/>
      <c r="CP328" s="26"/>
      <c r="CQ328" s="26"/>
      <c r="CR328" s="26"/>
      <c r="CS328" s="26"/>
      <c r="CT328" s="26"/>
      <c r="CU328" s="26"/>
      <c r="CV328" s="26"/>
      <c r="CW328" s="26"/>
      <c r="CX328" s="26"/>
      <c r="CY328" s="26"/>
      <c r="CZ328" s="26"/>
      <c r="DA328" s="26"/>
      <c r="DB328" s="26"/>
      <c r="DC328" s="26"/>
      <c r="DD328" s="26"/>
    </row>
    <row r="329" spans="59:108" x14ac:dyDescent="0.2">
      <c r="BG329" s="26"/>
      <c r="BH329" s="26"/>
      <c r="BI329" s="26"/>
      <c r="BJ329" s="26"/>
      <c r="BK329" s="26"/>
      <c r="BL329" s="26"/>
      <c r="BM329" s="26"/>
      <c r="BN329" s="26"/>
      <c r="BO329" s="26"/>
      <c r="BP329" s="26"/>
      <c r="BQ329" s="26"/>
      <c r="BR329" s="26"/>
      <c r="BS329" s="26"/>
      <c r="BT329" s="26"/>
      <c r="BU329" s="26"/>
      <c r="BV329" s="26"/>
      <c r="BW329" s="26"/>
      <c r="BX329" s="26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26"/>
      <c r="CP329" s="26"/>
      <c r="CQ329" s="26"/>
      <c r="CR329" s="26"/>
      <c r="CS329" s="26"/>
      <c r="CT329" s="26"/>
      <c r="CU329" s="26"/>
      <c r="CV329" s="26"/>
      <c r="CW329" s="26"/>
      <c r="CX329" s="26"/>
      <c r="CY329" s="26"/>
      <c r="CZ329" s="26"/>
      <c r="DA329" s="26"/>
      <c r="DB329" s="26"/>
      <c r="DC329" s="26"/>
      <c r="DD329" s="26"/>
    </row>
    <row r="330" spans="59:108" x14ac:dyDescent="0.2">
      <c r="BG330" s="26"/>
      <c r="BH330" s="26"/>
      <c r="BI330" s="26"/>
      <c r="BJ330" s="26"/>
      <c r="BK330" s="26"/>
      <c r="BL330" s="26"/>
      <c r="BM330" s="26"/>
      <c r="BN330" s="26"/>
      <c r="BO330" s="26"/>
      <c r="BP330" s="26"/>
      <c r="BQ330" s="26"/>
      <c r="BR330" s="26"/>
      <c r="BS330" s="26"/>
      <c r="BT330" s="26"/>
      <c r="BU330" s="26"/>
      <c r="BV330" s="26"/>
      <c r="BW330" s="26"/>
      <c r="BX330" s="26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26"/>
      <c r="CP330" s="26"/>
      <c r="CQ330" s="26"/>
      <c r="CR330" s="26"/>
      <c r="CS330" s="26"/>
      <c r="CT330" s="26"/>
      <c r="CU330" s="26"/>
      <c r="CV330" s="26"/>
      <c r="CW330" s="26"/>
      <c r="CX330" s="26"/>
      <c r="CY330" s="26"/>
      <c r="CZ330" s="26"/>
      <c r="DA330" s="26"/>
      <c r="DB330" s="26"/>
      <c r="DC330" s="26"/>
      <c r="DD330" s="26"/>
    </row>
    <row r="331" spans="59:108" x14ac:dyDescent="0.2">
      <c r="BG331" s="26"/>
      <c r="BH331" s="26"/>
      <c r="BI331" s="26"/>
      <c r="BJ331" s="26"/>
      <c r="BK331" s="26"/>
      <c r="BL331" s="26"/>
      <c r="BM331" s="26"/>
      <c r="BN331" s="26"/>
      <c r="BO331" s="26"/>
      <c r="BP331" s="26"/>
      <c r="BQ331" s="26"/>
      <c r="BR331" s="26"/>
      <c r="BS331" s="26"/>
      <c r="BT331" s="26"/>
      <c r="BU331" s="26"/>
      <c r="BV331" s="26"/>
      <c r="BW331" s="26"/>
      <c r="BX331" s="26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26"/>
      <c r="CP331" s="26"/>
      <c r="CQ331" s="26"/>
      <c r="CR331" s="26"/>
      <c r="CS331" s="26"/>
      <c r="CT331" s="26"/>
      <c r="CU331" s="26"/>
      <c r="CV331" s="26"/>
      <c r="CW331" s="26"/>
      <c r="CX331" s="26"/>
      <c r="CY331" s="26"/>
      <c r="CZ331" s="26"/>
      <c r="DA331" s="26"/>
      <c r="DB331" s="26"/>
      <c r="DC331" s="26"/>
      <c r="DD331" s="26"/>
    </row>
    <row r="332" spans="59:108" x14ac:dyDescent="0.2">
      <c r="BG332" s="26"/>
      <c r="BH332" s="26"/>
      <c r="BI332" s="26"/>
      <c r="BJ332" s="26"/>
      <c r="BK332" s="26"/>
      <c r="BL332" s="26"/>
      <c r="BM332" s="26"/>
      <c r="BN332" s="26"/>
      <c r="BO332" s="26"/>
      <c r="BP332" s="26"/>
      <c r="BQ332" s="26"/>
      <c r="BR332" s="26"/>
      <c r="BS332" s="26"/>
      <c r="BT332" s="26"/>
      <c r="BU332" s="26"/>
      <c r="BV332" s="26"/>
      <c r="BW332" s="26"/>
      <c r="BX332" s="26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26"/>
      <c r="CP332" s="26"/>
      <c r="CQ332" s="26"/>
      <c r="CR332" s="26"/>
      <c r="CS332" s="26"/>
      <c r="CT332" s="26"/>
      <c r="CU332" s="26"/>
      <c r="CV332" s="26"/>
      <c r="CW332" s="26"/>
      <c r="CX332" s="26"/>
      <c r="CY332" s="26"/>
      <c r="CZ332" s="26"/>
      <c r="DA332" s="26"/>
      <c r="DB332" s="26"/>
      <c r="DC332" s="26"/>
      <c r="DD332" s="26"/>
    </row>
    <row r="333" spans="59:108" x14ac:dyDescent="0.2">
      <c r="BG333" s="26"/>
      <c r="BH333" s="26"/>
      <c r="BI333" s="26"/>
      <c r="BJ333" s="26"/>
      <c r="BK333" s="26"/>
      <c r="BL333" s="26"/>
      <c r="BM333" s="26"/>
      <c r="BN333" s="26"/>
      <c r="BO333" s="26"/>
      <c r="BP333" s="26"/>
      <c r="BQ333" s="26"/>
      <c r="BR333" s="26"/>
      <c r="BS333" s="26"/>
      <c r="BT333" s="26"/>
      <c r="BU333" s="26"/>
      <c r="BV333" s="26"/>
      <c r="BW333" s="26"/>
      <c r="BX333" s="26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26"/>
      <c r="CP333" s="26"/>
      <c r="CQ333" s="26"/>
      <c r="CR333" s="26"/>
      <c r="CS333" s="26"/>
      <c r="CT333" s="26"/>
      <c r="CU333" s="26"/>
      <c r="CV333" s="26"/>
      <c r="CW333" s="26"/>
      <c r="CX333" s="26"/>
      <c r="CY333" s="26"/>
      <c r="CZ333" s="26"/>
      <c r="DA333" s="26"/>
      <c r="DB333" s="26"/>
      <c r="DC333" s="26"/>
      <c r="DD333" s="26"/>
    </row>
    <row r="334" spans="59:108" x14ac:dyDescent="0.2">
      <c r="BG334" s="26"/>
      <c r="BH334" s="26"/>
      <c r="BI334" s="26"/>
      <c r="BJ334" s="26"/>
      <c r="BK334" s="26"/>
      <c r="BL334" s="26"/>
      <c r="BM334" s="26"/>
      <c r="BN334" s="26"/>
      <c r="BO334" s="26"/>
      <c r="BP334" s="26"/>
      <c r="BQ334" s="26"/>
      <c r="BR334" s="26"/>
      <c r="BS334" s="26"/>
      <c r="BT334" s="26"/>
      <c r="BU334" s="26"/>
      <c r="BV334" s="26"/>
      <c r="BW334" s="26"/>
      <c r="BX334" s="26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26"/>
      <c r="CP334" s="26"/>
      <c r="CQ334" s="26"/>
      <c r="CR334" s="26"/>
      <c r="CS334" s="26"/>
      <c r="CT334" s="26"/>
      <c r="CU334" s="26"/>
      <c r="CV334" s="26"/>
      <c r="CW334" s="26"/>
      <c r="CX334" s="26"/>
      <c r="CY334" s="26"/>
      <c r="CZ334" s="26"/>
      <c r="DA334" s="26"/>
      <c r="DB334" s="26"/>
      <c r="DC334" s="26"/>
      <c r="DD334" s="26"/>
    </row>
    <row r="335" spans="59:108" x14ac:dyDescent="0.2">
      <c r="BG335" s="26"/>
      <c r="BH335" s="26"/>
      <c r="BI335" s="26"/>
      <c r="BJ335" s="26"/>
      <c r="BK335" s="26"/>
      <c r="BL335" s="26"/>
      <c r="BM335" s="26"/>
      <c r="BN335" s="26"/>
      <c r="BO335" s="26"/>
      <c r="BP335" s="26"/>
      <c r="BQ335" s="26"/>
      <c r="BR335" s="26"/>
      <c r="BS335" s="26"/>
      <c r="BT335" s="26"/>
      <c r="BU335" s="26"/>
      <c r="BV335" s="26"/>
      <c r="BW335" s="26"/>
      <c r="BX335" s="26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26"/>
      <c r="CP335" s="26"/>
      <c r="CQ335" s="26"/>
      <c r="CR335" s="26"/>
      <c r="CS335" s="26"/>
      <c r="CT335" s="26"/>
      <c r="CU335" s="26"/>
      <c r="CV335" s="26"/>
      <c r="CW335" s="26"/>
      <c r="CX335" s="26"/>
      <c r="CY335" s="26"/>
      <c r="CZ335" s="26"/>
      <c r="DA335" s="26"/>
      <c r="DB335" s="26"/>
      <c r="DC335" s="26"/>
      <c r="DD335" s="26"/>
    </row>
    <row r="336" spans="59:108" x14ac:dyDescent="0.2">
      <c r="BG336" s="26"/>
      <c r="BH336" s="26"/>
      <c r="BI336" s="26"/>
      <c r="BJ336" s="26"/>
      <c r="BK336" s="26"/>
      <c r="BL336" s="26"/>
      <c r="BM336" s="26"/>
      <c r="BN336" s="26"/>
      <c r="BO336" s="26"/>
      <c r="BP336" s="26"/>
      <c r="BQ336" s="26"/>
      <c r="BR336" s="26"/>
      <c r="BS336" s="26"/>
      <c r="BT336" s="26"/>
      <c r="BU336" s="26"/>
      <c r="BV336" s="26"/>
      <c r="BW336" s="26"/>
      <c r="BX336" s="26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26"/>
      <c r="CP336" s="26"/>
      <c r="CQ336" s="26"/>
      <c r="CR336" s="26"/>
      <c r="CS336" s="26"/>
      <c r="CT336" s="26"/>
      <c r="CU336" s="26"/>
      <c r="CV336" s="26"/>
      <c r="CW336" s="26"/>
      <c r="CX336" s="26"/>
      <c r="CY336" s="26"/>
      <c r="CZ336" s="26"/>
      <c r="DA336" s="26"/>
      <c r="DB336" s="26"/>
      <c r="DC336" s="26"/>
      <c r="DD336" s="26"/>
    </row>
    <row r="337" spans="59:108" x14ac:dyDescent="0.2">
      <c r="BG337" s="26"/>
      <c r="BH337" s="26"/>
      <c r="BI337" s="26"/>
      <c r="BJ337" s="26"/>
      <c r="BK337" s="26"/>
      <c r="BL337" s="26"/>
      <c r="BM337" s="26"/>
      <c r="BN337" s="26"/>
      <c r="BO337" s="26"/>
      <c r="BP337" s="26"/>
      <c r="BQ337" s="26"/>
      <c r="BR337" s="26"/>
      <c r="BS337" s="26"/>
      <c r="BT337" s="26"/>
      <c r="BU337" s="26"/>
      <c r="BV337" s="26"/>
      <c r="BW337" s="26"/>
      <c r="BX337" s="26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26"/>
      <c r="CP337" s="26"/>
      <c r="CQ337" s="26"/>
      <c r="CR337" s="26"/>
      <c r="CS337" s="26"/>
      <c r="CT337" s="26"/>
      <c r="CU337" s="26"/>
      <c r="CV337" s="26"/>
      <c r="CW337" s="26"/>
      <c r="CX337" s="26"/>
      <c r="CY337" s="26"/>
      <c r="CZ337" s="26"/>
      <c r="DA337" s="26"/>
      <c r="DB337" s="26"/>
      <c r="DC337" s="26"/>
      <c r="DD337" s="26"/>
    </row>
    <row r="338" spans="59:108" x14ac:dyDescent="0.2">
      <c r="BG338" s="26"/>
      <c r="BH338" s="26"/>
      <c r="BI338" s="26"/>
      <c r="BJ338" s="26"/>
      <c r="BK338" s="26"/>
      <c r="BL338" s="26"/>
      <c r="BM338" s="26"/>
      <c r="BN338" s="26"/>
      <c r="BO338" s="26"/>
      <c r="BP338" s="26"/>
      <c r="BQ338" s="26"/>
      <c r="BR338" s="26"/>
      <c r="BS338" s="26"/>
      <c r="BT338" s="26"/>
      <c r="BU338" s="26"/>
      <c r="BV338" s="26"/>
      <c r="BW338" s="26"/>
      <c r="BX338" s="26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26"/>
      <c r="CP338" s="26"/>
      <c r="CQ338" s="26"/>
      <c r="CR338" s="26"/>
      <c r="CS338" s="26"/>
      <c r="CT338" s="26"/>
      <c r="CU338" s="26"/>
      <c r="CV338" s="26"/>
      <c r="CW338" s="26"/>
      <c r="CX338" s="26"/>
      <c r="CY338" s="26"/>
      <c r="CZ338" s="26"/>
      <c r="DA338" s="26"/>
      <c r="DB338" s="26"/>
      <c r="DC338" s="26"/>
      <c r="DD338" s="26"/>
    </row>
    <row r="339" spans="59:108" x14ac:dyDescent="0.2">
      <c r="BG339" s="26"/>
      <c r="BH339" s="26"/>
      <c r="BI339" s="26"/>
      <c r="BJ339" s="26"/>
      <c r="BK339" s="26"/>
      <c r="BL339" s="26"/>
      <c r="BM339" s="26"/>
      <c r="BN339" s="26"/>
      <c r="BO339" s="26"/>
      <c r="BP339" s="26"/>
      <c r="BQ339" s="26"/>
      <c r="BR339" s="26"/>
      <c r="BS339" s="26"/>
      <c r="BT339" s="26"/>
      <c r="BU339" s="26"/>
      <c r="BV339" s="26"/>
      <c r="BW339" s="26"/>
      <c r="BX339" s="26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26"/>
      <c r="CP339" s="26"/>
      <c r="CQ339" s="26"/>
      <c r="CR339" s="26"/>
      <c r="CS339" s="26"/>
      <c r="CT339" s="26"/>
      <c r="CU339" s="26"/>
      <c r="CV339" s="26"/>
      <c r="CW339" s="26"/>
      <c r="CX339" s="26"/>
      <c r="CY339" s="26"/>
      <c r="CZ339" s="26"/>
      <c r="DA339" s="26"/>
      <c r="DB339" s="26"/>
      <c r="DC339" s="26"/>
      <c r="DD339" s="26"/>
    </row>
    <row r="340" spans="59:108" x14ac:dyDescent="0.2">
      <c r="BG340" s="26"/>
      <c r="BH340" s="26"/>
      <c r="BI340" s="26"/>
      <c r="BJ340" s="26"/>
      <c r="BK340" s="26"/>
      <c r="BL340" s="26"/>
      <c r="BM340" s="26"/>
      <c r="BN340" s="26"/>
      <c r="BO340" s="26"/>
      <c r="BP340" s="26"/>
      <c r="BQ340" s="26"/>
      <c r="BR340" s="26"/>
      <c r="BS340" s="26"/>
      <c r="BT340" s="26"/>
      <c r="BU340" s="26"/>
      <c r="BV340" s="26"/>
      <c r="BW340" s="26"/>
      <c r="BX340" s="26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26"/>
      <c r="CP340" s="26"/>
      <c r="CQ340" s="26"/>
      <c r="CR340" s="26"/>
      <c r="CS340" s="26"/>
      <c r="CT340" s="26"/>
      <c r="CU340" s="26"/>
      <c r="CV340" s="26"/>
      <c r="CW340" s="26"/>
      <c r="CX340" s="26"/>
      <c r="CY340" s="26"/>
      <c r="CZ340" s="26"/>
      <c r="DA340" s="26"/>
      <c r="DB340" s="26"/>
      <c r="DC340" s="26"/>
      <c r="DD340" s="26"/>
    </row>
    <row r="341" spans="59:108" x14ac:dyDescent="0.2">
      <c r="BG341" s="26"/>
      <c r="BH341" s="26"/>
      <c r="BI341" s="26"/>
      <c r="BJ341" s="26"/>
      <c r="BK341" s="26"/>
      <c r="BL341" s="26"/>
      <c r="BM341" s="26"/>
      <c r="BN341" s="26"/>
      <c r="BO341" s="26"/>
      <c r="BP341" s="26"/>
      <c r="BQ341" s="26"/>
      <c r="BR341" s="26"/>
      <c r="BS341" s="26"/>
      <c r="BT341" s="26"/>
      <c r="BU341" s="26"/>
      <c r="BV341" s="26"/>
      <c r="BW341" s="26"/>
      <c r="BX341" s="26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26"/>
      <c r="CP341" s="26"/>
      <c r="CQ341" s="26"/>
      <c r="CR341" s="26"/>
      <c r="CS341" s="26"/>
      <c r="CT341" s="26"/>
      <c r="CU341" s="26"/>
      <c r="CV341" s="26"/>
      <c r="CW341" s="26"/>
      <c r="CX341" s="26"/>
      <c r="CY341" s="26"/>
      <c r="CZ341" s="26"/>
      <c r="DA341" s="26"/>
      <c r="DB341" s="26"/>
      <c r="DC341" s="26"/>
      <c r="DD341" s="26"/>
    </row>
    <row r="342" spans="59:108" x14ac:dyDescent="0.2">
      <c r="BG342" s="26"/>
      <c r="BH342" s="26"/>
      <c r="BI342" s="26"/>
      <c r="BJ342" s="26"/>
      <c r="BK342" s="26"/>
      <c r="BL342" s="26"/>
      <c r="BM342" s="26"/>
      <c r="BN342" s="26"/>
      <c r="BO342" s="26"/>
      <c r="BP342" s="26"/>
      <c r="BQ342" s="26"/>
      <c r="BR342" s="26"/>
      <c r="BS342" s="26"/>
      <c r="BT342" s="26"/>
      <c r="BU342" s="26"/>
      <c r="BV342" s="26"/>
      <c r="BW342" s="26"/>
      <c r="BX342" s="26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26"/>
      <c r="CP342" s="26"/>
      <c r="CQ342" s="26"/>
      <c r="CR342" s="26"/>
      <c r="CS342" s="26"/>
      <c r="CT342" s="26"/>
      <c r="CU342" s="26"/>
      <c r="CV342" s="26"/>
      <c r="CW342" s="26"/>
      <c r="CX342" s="26"/>
      <c r="CY342" s="26"/>
      <c r="CZ342" s="26"/>
      <c r="DA342" s="26"/>
      <c r="DB342" s="26"/>
      <c r="DC342" s="26"/>
      <c r="DD342" s="26"/>
    </row>
    <row r="343" spans="59:108" x14ac:dyDescent="0.2">
      <c r="BG343" s="26"/>
      <c r="BH343" s="26"/>
      <c r="BI343" s="26"/>
      <c r="BJ343" s="26"/>
      <c r="BK343" s="26"/>
      <c r="BL343" s="26"/>
      <c r="BM343" s="26"/>
      <c r="BN343" s="26"/>
      <c r="BO343" s="26"/>
      <c r="BP343" s="26"/>
      <c r="BQ343" s="26"/>
      <c r="BR343" s="26"/>
      <c r="BS343" s="26"/>
      <c r="BT343" s="26"/>
      <c r="BU343" s="26"/>
      <c r="BV343" s="26"/>
      <c r="BW343" s="26"/>
      <c r="BX343" s="26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26"/>
      <c r="CP343" s="26"/>
      <c r="CQ343" s="26"/>
      <c r="CR343" s="26"/>
      <c r="CS343" s="26"/>
      <c r="CT343" s="26"/>
      <c r="CU343" s="26"/>
      <c r="CV343" s="26"/>
      <c r="CW343" s="26"/>
      <c r="CX343" s="26"/>
      <c r="CY343" s="26"/>
      <c r="CZ343" s="26"/>
      <c r="DA343" s="26"/>
      <c r="DB343" s="26"/>
      <c r="DC343" s="26"/>
      <c r="DD343" s="26"/>
    </row>
    <row r="344" spans="59:108" x14ac:dyDescent="0.2">
      <c r="BG344" s="26"/>
      <c r="BH344" s="26"/>
      <c r="BI344" s="26"/>
      <c r="BJ344" s="26"/>
      <c r="BK344" s="26"/>
      <c r="BL344" s="26"/>
      <c r="BM344" s="26"/>
      <c r="BN344" s="26"/>
      <c r="BO344" s="26"/>
      <c r="BP344" s="26"/>
      <c r="BQ344" s="26"/>
      <c r="BR344" s="26"/>
      <c r="BS344" s="26"/>
      <c r="BT344" s="26"/>
      <c r="BU344" s="26"/>
      <c r="BV344" s="26"/>
      <c r="BW344" s="26"/>
      <c r="BX344" s="26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26"/>
      <c r="CP344" s="26"/>
      <c r="CQ344" s="26"/>
      <c r="CR344" s="26"/>
      <c r="CS344" s="26"/>
      <c r="CT344" s="26"/>
      <c r="CU344" s="26"/>
      <c r="CV344" s="26"/>
      <c r="CW344" s="26"/>
      <c r="CX344" s="26"/>
      <c r="CY344" s="26"/>
      <c r="CZ344" s="26"/>
      <c r="DA344" s="26"/>
      <c r="DB344" s="26"/>
      <c r="DC344" s="26"/>
      <c r="DD344" s="26"/>
    </row>
    <row r="345" spans="59:108" x14ac:dyDescent="0.2">
      <c r="BG345" s="26"/>
      <c r="BH345" s="26"/>
      <c r="BI345" s="26"/>
      <c r="BJ345" s="26"/>
      <c r="BK345" s="26"/>
      <c r="BL345" s="26"/>
      <c r="BM345" s="26"/>
      <c r="BN345" s="26"/>
      <c r="BO345" s="26"/>
      <c r="BP345" s="26"/>
      <c r="BQ345" s="26"/>
      <c r="BR345" s="26"/>
      <c r="BS345" s="26"/>
      <c r="BT345" s="26"/>
      <c r="BU345" s="26"/>
      <c r="BV345" s="26"/>
      <c r="BW345" s="26"/>
      <c r="BX345" s="26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26"/>
      <c r="CP345" s="26"/>
      <c r="CQ345" s="26"/>
      <c r="CR345" s="26"/>
      <c r="CS345" s="26"/>
      <c r="CT345" s="26"/>
      <c r="CU345" s="26"/>
      <c r="CV345" s="26"/>
      <c r="CW345" s="26"/>
      <c r="CX345" s="26"/>
      <c r="CY345" s="26"/>
      <c r="CZ345" s="26"/>
      <c r="DA345" s="26"/>
      <c r="DB345" s="26"/>
      <c r="DC345" s="26"/>
      <c r="DD345" s="26"/>
    </row>
    <row r="346" spans="59:108" x14ac:dyDescent="0.2">
      <c r="BG346" s="26"/>
      <c r="BH346" s="26"/>
      <c r="BI346" s="26"/>
      <c r="BJ346" s="26"/>
      <c r="BK346" s="26"/>
      <c r="BL346" s="26"/>
      <c r="BM346" s="26"/>
      <c r="BN346" s="26"/>
      <c r="BO346" s="26"/>
      <c r="BP346" s="26"/>
      <c r="BQ346" s="26"/>
      <c r="BR346" s="26"/>
      <c r="BS346" s="26"/>
      <c r="BT346" s="26"/>
      <c r="BU346" s="26"/>
      <c r="BV346" s="26"/>
      <c r="BW346" s="26"/>
      <c r="BX346" s="26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26"/>
      <c r="CP346" s="26"/>
      <c r="CQ346" s="26"/>
      <c r="CR346" s="26"/>
      <c r="CS346" s="26"/>
      <c r="CT346" s="26"/>
      <c r="CU346" s="26"/>
      <c r="CV346" s="26"/>
      <c r="CW346" s="26"/>
      <c r="CX346" s="26"/>
      <c r="CY346" s="26"/>
      <c r="CZ346" s="26"/>
      <c r="DA346" s="26"/>
      <c r="DB346" s="26"/>
      <c r="DC346" s="26"/>
      <c r="DD346" s="26"/>
    </row>
    <row r="347" spans="59:108" x14ac:dyDescent="0.2">
      <c r="BG347" s="26"/>
      <c r="BH347" s="26"/>
      <c r="BI347" s="26"/>
      <c r="BJ347" s="26"/>
      <c r="BK347" s="26"/>
      <c r="BL347" s="26"/>
      <c r="BM347" s="26"/>
      <c r="BN347" s="26"/>
      <c r="BO347" s="26"/>
      <c r="BP347" s="26"/>
      <c r="BQ347" s="26"/>
      <c r="BR347" s="26"/>
      <c r="BS347" s="26"/>
      <c r="BT347" s="26"/>
      <c r="BU347" s="26"/>
      <c r="BV347" s="26"/>
      <c r="BW347" s="26"/>
      <c r="BX347" s="26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26"/>
      <c r="CP347" s="26"/>
      <c r="CQ347" s="26"/>
      <c r="CR347" s="26"/>
      <c r="CS347" s="26"/>
      <c r="CT347" s="26"/>
      <c r="CU347" s="26"/>
      <c r="CV347" s="26"/>
      <c r="CW347" s="26"/>
      <c r="CX347" s="26"/>
      <c r="CY347" s="26"/>
      <c r="CZ347" s="26"/>
      <c r="DA347" s="26"/>
      <c r="DB347" s="26"/>
      <c r="DC347" s="26"/>
      <c r="DD347" s="26"/>
    </row>
    <row r="348" spans="59:108" x14ac:dyDescent="0.2">
      <c r="BG348" s="26"/>
      <c r="BH348" s="26"/>
      <c r="BI348" s="26"/>
      <c r="BJ348" s="26"/>
      <c r="BK348" s="26"/>
      <c r="BL348" s="26"/>
      <c r="BM348" s="26"/>
      <c r="BN348" s="26"/>
      <c r="BO348" s="26"/>
      <c r="BP348" s="26"/>
      <c r="BQ348" s="26"/>
      <c r="BR348" s="26"/>
      <c r="BS348" s="26"/>
      <c r="BT348" s="26"/>
      <c r="BU348" s="26"/>
      <c r="BV348" s="26"/>
      <c r="BW348" s="26"/>
      <c r="BX348" s="26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26"/>
      <c r="CP348" s="26"/>
      <c r="CQ348" s="26"/>
      <c r="CR348" s="26"/>
      <c r="CS348" s="26"/>
      <c r="CT348" s="26"/>
      <c r="CU348" s="26"/>
      <c r="CV348" s="26"/>
      <c r="CW348" s="26"/>
      <c r="CX348" s="26"/>
      <c r="CY348" s="26"/>
      <c r="CZ348" s="26"/>
      <c r="DA348" s="26"/>
      <c r="DB348" s="26"/>
      <c r="DC348" s="26"/>
      <c r="DD348" s="26"/>
    </row>
    <row r="349" spans="59:108" x14ac:dyDescent="0.2">
      <c r="BG349" s="26"/>
      <c r="BH349" s="26"/>
      <c r="BI349" s="26"/>
      <c r="BJ349" s="26"/>
      <c r="BK349" s="26"/>
      <c r="BL349" s="26"/>
      <c r="BM349" s="26"/>
      <c r="BN349" s="26"/>
      <c r="BO349" s="26"/>
      <c r="BP349" s="26"/>
      <c r="BQ349" s="26"/>
      <c r="BR349" s="26"/>
      <c r="BS349" s="26"/>
      <c r="BT349" s="26"/>
      <c r="BU349" s="26"/>
      <c r="BV349" s="26"/>
      <c r="BW349" s="26"/>
      <c r="BX349" s="26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26"/>
      <c r="CP349" s="26"/>
      <c r="CQ349" s="26"/>
      <c r="CR349" s="26"/>
      <c r="CS349" s="26"/>
      <c r="CT349" s="26"/>
      <c r="CU349" s="26"/>
      <c r="CV349" s="26"/>
      <c r="CW349" s="26"/>
      <c r="CX349" s="26"/>
      <c r="CY349" s="26"/>
      <c r="CZ349" s="26"/>
      <c r="DA349" s="26"/>
      <c r="DB349" s="26"/>
      <c r="DC349" s="26"/>
      <c r="DD349" s="26"/>
    </row>
    <row r="350" spans="59:108" x14ac:dyDescent="0.2">
      <c r="BG350" s="26"/>
      <c r="BH350" s="26"/>
      <c r="BI350" s="26"/>
      <c r="BJ350" s="26"/>
      <c r="BK350" s="26"/>
      <c r="BL350" s="26"/>
      <c r="BM350" s="26"/>
      <c r="BN350" s="26"/>
      <c r="BO350" s="26"/>
      <c r="BP350" s="26"/>
      <c r="BQ350" s="26"/>
      <c r="BR350" s="26"/>
      <c r="BS350" s="26"/>
      <c r="BT350" s="26"/>
      <c r="BU350" s="26"/>
      <c r="BV350" s="26"/>
      <c r="BW350" s="26"/>
      <c r="BX350" s="26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26"/>
      <c r="CP350" s="26"/>
      <c r="CQ350" s="26"/>
      <c r="CR350" s="26"/>
      <c r="CS350" s="26"/>
      <c r="CT350" s="26"/>
      <c r="CU350" s="26"/>
      <c r="CV350" s="26"/>
      <c r="CW350" s="26"/>
      <c r="CX350" s="26"/>
      <c r="CY350" s="26"/>
      <c r="CZ350" s="26"/>
      <c r="DA350" s="26"/>
      <c r="DB350" s="26"/>
      <c r="DC350" s="26"/>
      <c r="DD350" s="26"/>
    </row>
    <row r="351" spans="59:108" x14ac:dyDescent="0.2">
      <c r="BG351" s="26"/>
      <c r="BH351" s="26"/>
      <c r="BI351" s="26"/>
      <c r="BJ351" s="26"/>
      <c r="BK351" s="26"/>
      <c r="BL351" s="26"/>
      <c r="BM351" s="26"/>
      <c r="BN351" s="26"/>
      <c r="BO351" s="26"/>
      <c r="BP351" s="26"/>
      <c r="BQ351" s="26"/>
      <c r="BR351" s="26"/>
      <c r="BS351" s="26"/>
      <c r="BT351" s="26"/>
      <c r="BU351" s="26"/>
      <c r="BV351" s="26"/>
      <c r="BW351" s="26"/>
      <c r="BX351" s="26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26"/>
      <c r="CP351" s="26"/>
      <c r="CQ351" s="26"/>
      <c r="CR351" s="26"/>
      <c r="CS351" s="26"/>
      <c r="CT351" s="26"/>
      <c r="CU351" s="26"/>
      <c r="CV351" s="26"/>
      <c r="CW351" s="26"/>
      <c r="CX351" s="26"/>
      <c r="CY351" s="26"/>
      <c r="CZ351" s="26"/>
      <c r="DA351" s="26"/>
      <c r="DB351" s="26"/>
      <c r="DC351" s="26"/>
      <c r="DD351" s="26"/>
    </row>
    <row r="352" spans="59:108" x14ac:dyDescent="0.2">
      <c r="BG352" s="26"/>
      <c r="BH352" s="26"/>
      <c r="BI352" s="26"/>
      <c r="BJ352" s="26"/>
      <c r="BK352" s="26"/>
      <c r="BL352" s="26"/>
      <c r="BM352" s="26"/>
      <c r="BN352" s="26"/>
      <c r="BO352" s="26"/>
      <c r="BP352" s="26"/>
      <c r="BQ352" s="26"/>
      <c r="BR352" s="26"/>
      <c r="BS352" s="26"/>
      <c r="BT352" s="26"/>
      <c r="BU352" s="26"/>
      <c r="BV352" s="26"/>
      <c r="BW352" s="26"/>
      <c r="BX352" s="26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26"/>
      <c r="CP352" s="26"/>
      <c r="CQ352" s="26"/>
      <c r="CR352" s="26"/>
      <c r="CS352" s="26"/>
      <c r="CT352" s="26"/>
      <c r="CU352" s="26"/>
      <c r="CV352" s="26"/>
      <c r="CW352" s="26"/>
      <c r="CX352" s="26"/>
      <c r="CY352" s="26"/>
      <c r="CZ352" s="26"/>
      <c r="DA352" s="26"/>
      <c r="DB352" s="26"/>
      <c r="DC352" s="26"/>
      <c r="DD352" s="26"/>
    </row>
    <row r="353" spans="59:108" x14ac:dyDescent="0.2">
      <c r="BG353" s="26"/>
      <c r="BH353" s="26"/>
      <c r="BI353" s="26"/>
      <c r="BJ353" s="26"/>
      <c r="BK353" s="26"/>
      <c r="BL353" s="26"/>
      <c r="BM353" s="26"/>
      <c r="BN353" s="26"/>
      <c r="BO353" s="26"/>
      <c r="BP353" s="26"/>
      <c r="BQ353" s="26"/>
      <c r="BR353" s="26"/>
      <c r="BS353" s="26"/>
      <c r="BT353" s="26"/>
      <c r="BU353" s="26"/>
      <c r="BV353" s="26"/>
      <c r="BW353" s="26"/>
      <c r="BX353" s="26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26"/>
      <c r="CP353" s="26"/>
      <c r="CQ353" s="26"/>
      <c r="CR353" s="26"/>
      <c r="CS353" s="26"/>
      <c r="CT353" s="26"/>
      <c r="CU353" s="26"/>
      <c r="CV353" s="26"/>
      <c r="CW353" s="26"/>
      <c r="CX353" s="26"/>
      <c r="CY353" s="26"/>
      <c r="CZ353" s="26"/>
      <c r="DA353" s="26"/>
      <c r="DB353" s="26"/>
      <c r="DC353" s="26"/>
      <c r="DD353" s="26"/>
    </row>
    <row r="354" spans="59:108" x14ac:dyDescent="0.2">
      <c r="BG354" s="26"/>
      <c r="BH354" s="26"/>
      <c r="BI354" s="26"/>
      <c r="BJ354" s="26"/>
      <c r="BK354" s="26"/>
      <c r="BL354" s="26"/>
      <c r="BM354" s="26"/>
      <c r="BN354" s="26"/>
      <c r="BO354" s="26"/>
      <c r="BP354" s="26"/>
      <c r="BQ354" s="26"/>
      <c r="BR354" s="26"/>
      <c r="BS354" s="26"/>
      <c r="BT354" s="26"/>
      <c r="BU354" s="26"/>
      <c r="BV354" s="26"/>
      <c r="BW354" s="26"/>
      <c r="BX354" s="26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26"/>
      <c r="CP354" s="26"/>
      <c r="CQ354" s="26"/>
      <c r="CR354" s="26"/>
      <c r="CS354" s="26"/>
      <c r="CT354" s="26"/>
      <c r="CU354" s="26"/>
      <c r="CV354" s="26"/>
      <c r="CW354" s="26"/>
      <c r="CX354" s="26"/>
      <c r="CY354" s="26"/>
      <c r="CZ354" s="26"/>
      <c r="DA354" s="26"/>
      <c r="DB354" s="26"/>
      <c r="DC354" s="26"/>
      <c r="DD354" s="26"/>
    </row>
    <row r="355" spans="59:108" x14ac:dyDescent="0.2">
      <c r="BG355" s="26"/>
      <c r="BH355" s="26"/>
      <c r="BI355" s="26"/>
      <c r="BJ355" s="26"/>
      <c r="BK355" s="26"/>
      <c r="BL355" s="26"/>
      <c r="BM355" s="26"/>
      <c r="BN355" s="26"/>
      <c r="BO355" s="26"/>
      <c r="BP355" s="26"/>
      <c r="BQ355" s="26"/>
      <c r="BR355" s="26"/>
      <c r="BS355" s="26"/>
      <c r="BT355" s="26"/>
      <c r="BU355" s="26"/>
      <c r="BV355" s="26"/>
      <c r="BW355" s="26"/>
      <c r="BX355" s="26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26"/>
      <c r="CP355" s="26"/>
      <c r="CQ355" s="26"/>
      <c r="CR355" s="26"/>
      <c r="CS355" s="26"/>
      <c r="CT355" s="26"/>
      <c r="CU355" s="26"/>
      <c r="CV355" s="26"/>
      <c r="CW355" s="26"/>
      <c r="CX355" s="26"/>
      <c r="CY355" s="26"/>
      <c r="CZ355" s="26"/>
      <c r="DA355" s="26"/>
      <c r="DB355" s="26"/>
      <c r="DC355" s="26"/>
      <c r="DD355" s="26"/>
    </row>
    <row r="356" spans="59:108" x14ac:dyDescent="0.2">
      <c r="BG356" s="26"/>
      <c r="BH356" s="26"/>
      <c r="BI356" s="26"/>
      <c r="BJ356" s="26"/>
      <c r="BK356" s="26"/>
      <c r="BL356" s="26"/>
      <c r="BM356" s="26"/>
      <c r="BN356" s="26"/>
      <c r="BO356" s="26"/>
      <c r="BP356" s="26"/>
      <c r="BQ356" s="26"/>
      <c r="BR356" s="26"/>
      <c r="BS356" s="26"/>
      <c r="BT356" s="26"/>
      <c r="BU356" s="26"/>
      <c r="BV356" s="26"/>
      <c r="BW356" s="26"/>
      <c r="BX356" s="26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26"/>
      <c r="CP356" s="26"/>
      <c r="CQ356" s="26"/>
      <c r="CR356" s="26"/>
      <c r="CS356" s="26"/>
      <c r="CT356" s="26"/>
      <c r="CU356" s="26"/>
      <c r="CV356" s="26"/>
      <c r="CW356" s="26"/>
      <c r="CX356" s="26"/>
      <c r="CY356" s="26"/>
      <c r="CZ356" s="26"/>
      <c r="DA356" s="26"/>
      <c r="DB356" s="26"/>
      <c r="DC356" s="26"/>
      <c r="DD356" s="26"/>
    </row>
    <row r="357" spans="59:108" x14ac:dyDescent="0.2">
      <c r="BG357" s="26"/>
      <c r="BH357" s="26"/>
      <c r="BI357" s="26"/>
      <c r="BJ357" s="26"/>
      <c r="BK357" s="26"/>
      <c r="BL357" s="26"/>
      <c r="BM357" s="26"/>
      <c r="BN357" s="26"/>
      <c r="BO357" s="26"/>
      <c r="BP357" s="26"/>
      <c r="BQ357" s="26"/>
      <c r="BR357" s="26"/>
      <c r="BS357" s="26"/>
      <c r="BT357" s="26"/>
      <c r="BU357" s="26"/>
      <c r="BV357" s="26"/>
      <c r="BW357" s="26"/>
      <c r="BX357" s="26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26"/>
      <c r="CP357" s="26"/>
      <c r="CQ357" s="26"/>
      <c r="CR357" s="26"/>
      <c r="CS357" s="26"/>
      <c r="CT357" s="26"/>
      <c r="CU357" s="26"/>
      <c r="CV357" s="26"/>
      <c r="CW357" s="26"/>
      <c r="CX357" s="26"/>
      <c r="CY357" s="26"/>
      <c r="CZ357" s="26"/>
      <c r="DA357" s="26"/>
      <c r="DB357" s="26"/>
      <c r="DC357" s="26"/>
      <c r="DD357" s="26"/>
    </row>
    <row r="358" spans="59:108" x14ac:dyDescent="0.2">
      <c r="BG358" s="26"/>
      <c r="BH358" s="26"/>
      <c r="BI358" s="26"/>
      <c r="BJ358" s="26"/>
      <c r="BK358" s="26"/>
      <c r="BL358" s="26"/>
      <c r="BM358" s="26"/>
      <c r="BN358" s="26"/>
      <c r="BO358" s="26"/>
      <c r="BP358" s="26"/>
      <c r="BQ358" s="26"/>
      <c r="BR358" s="26"/>
      <c r="BS358" s="26"/>
      <c r="BT358" s="26"/>
      <c r="BU358" s="26"/>
      <c r="BV358" s="26"/>
      <c r="BW358" s="26"/>
      <c r="BX358" s="26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26"/>
      <c r="CP358" s="26"/>
      <c r="CQ358" s="26"/>
      <c r="CR358" s="26"/>
      <c r="CS358" s="26"/>
      <c r="CT358" s="26"/>
      <c r="CU358" s="26"/>
      <c r="CV358" s="26"/>
      <c r="CW358" s="26"/>
      <c r="CX358" s="26"/>
      <c r="CY358" s="26"/>
      <c r="CZ358" s="26"/>
      <c r="DA358" s="26"/>
      <c r="DB358" s="26"/>
      <c r="DC358" s="26"/>
      <c r="DD358" s="26"/>
    </row>
    <row r="359" spans="59:108" x14ac:dyDescent="0.2">
      <c r="BG359" s="26"/>
      <c r="BH359" s="26"/>
      <c r="BI359" s="26"/>
      <c r="BJ359" s="26"/>
      <c r="BK359" s="26"/>
      <c r="BL359" s="26"/>
      <c r="BM359" s="26"/>
      <c r="BN359" s="26"/>
      <c r="BO359" s="26"/>
      <c r="BP359" s="26"/>
      <c r="BQ359" s="26"/>
      <c r="BR359" s="26"/>
      <c r="BS359" s="26"/>
      <c r="BT359" s="26"/>
      <c r="BU359" s="26"/>
      <c r="BV359" s="26"/>
      <c r="BW359" s="26"/>
      <c r="BX359" s="26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26"/>
      <c r="CP359" s="26"/>
      <c r="CQ359" s="26"/>
      <c r="CR359" s="26"/>
      <c r="CS359" s="26"/>
      <c r="CT359" s="26"/>
      <c r="CU359" s="26"/>
      <c r="CV359" s="26"/>
      <c r="CW359" s="26"/>
      <c r="CX359" s="26"/>
      <c r="CY359" s="26"/>
      <c r="CZ359" s="26"/>
      <c r="DA359" s="26"/>
      <c r="DB359" s="26"/>
      <c r="DC359" s="26"/>
      <c r="DD359" s="26"/>
    </row>
    <row r="360" spans="59:108" x14ac:dyDescent="0.2">
      <c r="BG360" s="26"/>
      <c r="BH360" s="26"/>
      <c r="BI360" s="26"/>
      <c r="BJ360" s="26"/>
      <c r="BK360" s="26"/>
      <c r="BL360" s="26"/>
      <c r="BM360" s="26"/>
      <c r="BN360" s="26"/>
      <c r="BO360" s="26"/>
      <c r="BP360" s="26"/>
      <c r="BQ360" s="26"/>
      <c r="BR360" s="26"/>
      <c r="BS360" s="26"/>
      <c r="BT360" s="26"/>
      <c r="BU360" s="26"/>
      <c r="BV360" s="26"/>
      <c r="BW360" s="26"/>
      <c r="BX360" s="26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26"/>
      <c r="CP360" s="26"/>
      <c r="CQ360" s="26"/>
      <c r="CR360" s="26"/>
      <c r="CS360" s="26"/>
      <c r="CT360" s="26"/>
      <c r="CU360" s="26"/>
      <c r="CV360" s="26"/>
      <c r="CW360" s="26"/>
      <c r="CX360" s="26"/>
      <c r="CY360" s="26"/>
      <c r="CZ360" s="26"/>
      <c r="DA360" s="26"/>
      <c r="DB360" s="26"/>
      <c r="DC360" s="26"/>
      <c r="DD360" s="26"/>
    </row>
    <row r="361" spans="59:108" x14ac:dyDescent="0.2">
      <c r="BG361" s="26"/>
      <c r="BH361" s="26"/>
      <c r="BI361" s="26"/>
      <c r="BJ361" s="26"/>
      <c r="BK361" s="26"/>
      <c r="BL361" s="26"/>
      <c r="BM361" s="26"/>
      <c r="BN361" s="26"/>
      <c r="BO361" s="26"/>
      <c r="BP361" s="26"/>
      <c r="BQ361" s="26"/>
      <c r="BR361" s="26"/>
      <c r="BS361" s="26"/>
      <c r="BT361" s="26"/>
      <c r="BU361" s="26"/>
      <c r="BV361" s="26"/>
      <c r="BW361" s="26"/>
      <c r="BX361" s="26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26"/>
      <c r="CP361" s="26"/>
      <c r="CQ361" s="26"/>
      <c r="CR361" s="26"/>
      <c r="CS361" s="26"/>
      <c r="CT361" s="26"/>
      <c r="CU361" s="26"/>
      <c r="CV361" s="26"/>
      <c r="CW361" s="26"/>
      <c r="CX361" s="26"/>
      <c r="CY361" s="26"/>
      <c r="CZ361" s="26"/>
      <c r="DA361" s="26"/>
      <c r="DB361" s="26"/>
      <c r="DC361" s="26"/>
      <c r="DD361" s="26"/>
    </row>
    <row r="362" spans="59:108" x14ac:dyDescent="0.2">
      <c r="BG362" s="26"/>
      <c r="BH362" s="26"/>
      <c r="BI362" s="26"/>
      <c r="BJ362" s="26"/>
      <c r="BK362" s="26"/>
      <c r="BL362" s="26"/>
      <c r="BM362" s="26"/>
      <c r="BN362" s="26"/>
      <c r="BO362" s="26"/>
      <c r="BP362" s="26"/>
      <c r="BQ362" s="26"/>
      <c r="BR362" s="26"/>
      <c r="BS362" s="26"/>
      <c r="BT362" s="26"/>
      <c r="BU362" s="26"/>
      <c r="BV362" s="26"/>
      <c r="BW362" s="26"/>
      <c r="BX362" s="26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26"/>
      <c r="CP362" s="26"/>
      <c r="CQ362" s="26"/>
      <c r="CR362" s="26"/>
      <c r="CS362" s="26"/>
      <c r="CT362" s="26"/>
      <c r="CU362" s="26"/>
      <c r="CV362" s="26"/>
      <c r="CW362" s="26"/>
      <c r="CX362" s="26"/>
      <c r="CY362" s="26"/>
      <c r="CZ362" s="26"/>
      <c r="DA362" s="26"/>
      <c r="DB362" s="26"/>
      <c r="DC362" s="26"/>
      <c r="DD362" s="26"/>
    </row>
    <row r="363" spans="59:108" x14ac:dyDescent="0.2">
      <c r="BG363" s="26"/>
      <c r="BH363" s="26"/>
      <c r="BI363" s="26"/>
      <c r="BJ363" s="26"/>
      <c r="BK363" s="26"/>
      <c r="BL363" s="26"/>
      <c r="BM363" s="26"/>
      <c r="BN363" s="26"/>
      <c r="BO363" s="26"/>
      <c r="BP363" s="26"/>
      <c r="BQ363" s="26"/>
      <c r="BR363" s="26"/>
      <c r="BS363" s="26"/>
      <c r="BT363" s="26"/>
      <c r="BU363" s="26"/>
      <c r="BV363" s="26"/>
      <c r="BW363" s="26"/>
      <c r="BX363" s="26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26"/>
      <c r="CP363" s="26"/>
      <c r="CQ363" s="26"/>
      <c r="CR363" s="26"/>
      <c r="CS363" s="26"/>
      <c r="CT363" s="26"/>
      <c r="CU363" s="26"/>
      <c r="CV363" s="26"/>
      <c r="CW363" s="26"/>
      <c r="CX363" s="26"/>
      <c r="CY363" s="26"/>
      <c r="CZ363" s="26"/>
      <c r="DA363" s="26"/>
      <c r="DB363" s="26"/>
      <c r="DC363" s="26"/>
      <c r="DD363" s="26"/>
    </row>
    <row r="364" spans="59:108" x14ac:dyDescent="0.2">
      <c r="BG364" s="26"/>
      <c r="BH364" s="26"/>
      <c r="BI364" s="26"/>
      <c r="BJ364" s="26"/>
      <c r="BK364" s="26"/>
      <c r="BL364" s="26"/>
      <c r="BM364" s="26"/>
      <c r="BN364" s="26"/>
      <c r="BO364" s="26"/>
      <c r="BP364" s="26"/>
      <c r="BQ364" s="26"/>
      <c r="BR364" s="26"/>
      <c r="BS364" s="26"/>
      <c r="BT364" s="26"/>
      <c r="BU364" s="26"/>
      <c r="BV364" s="26"/>
      <c r="BW364" s="26"/>
      <c r="BX364" s="26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26"/>
      <c r="CP364" s="26"/>
      <c r="CQ364" s="26"/>
      <c r="CR364" s="26"/>
      <c r="CS364" s="26"/>
      <c r="CT364" s="26"/>
      <c r="CU364" s="26"/>
      <c r="CV364" s="26"/>
      <c r="CW364" s="26"/>
      <c r="CX364" s="26"/>
      <c r="CY364" s="26"/>
      <c r="CZ364" s="26"/>
      <c r="DA364" s="26"/>
      <c r="DB364" s="26"/>
      <c r="DC364" s="26"/>
      <c r="DD364" s="26"/>
    </row>
    <row r="365" spans="59:108" x14ac:dyDescent="0.2">
      <c r="BG365" s="26"/>
      <c r="BH365" s="26"/>
      <c r="BI365" s="26"/>
      <c r="BJ365" s="26"/>
      <c r="BK365" s="26"/>
      <c r="BL365" s="26"/>
      <c r="BM365" s="26"/>
      <c r="BN365" s="26"/>
      <c r="BO365" s="26"/>
      <c r="BP365" s="26"/>
      <c r="BQ365" s="26"/>
      <c r="BR365" s="26"/>
      <c r="BS365" s="26"/>
      <c r="BT365" s="26"/>
      <c r="BU365" s="26"/>
      <c r="BV365" s="26"/>
      <c r="BW365" s="26"/>
      <c r="BX365" s="26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26"/>
      <c r="CP365" s="26"/>
      <c r="CQ365" s="26"/>
      <c r="CR365" s="26"/>
      <c r="CS365" s="26"/>
      <c r="CT365" s="26"/>
      <c r="CU365" s="26"/>
      <c r="CV365" s="26"/>
      <c r="CW365" s="26"/>
      <c r="CX365" s="26"/>
      <c r="CY365" s="26"/>
      <c r="CZ365" s="26"/>
      <c r="DA365" s="26"/>
      <c r="DB365" s="26"/>
      <c r="DC365" s="26"/>
      <c r="DD365" s="26"/>
    </row>
    <row r="366" spans="59:108" x14ac:dyDescent="0.2">
      <c r="BG366" s="26"/>
      <c r="BH366" s="26"/>
      <c r="BI366" s="26"/>
      <c r="BJ366" s="26"/>
      <c r="BK366" s="26"/>
      <c r="BL366" s="26"/>
      <c r="BM366" s="26"/>
      <c r="BN366" s="26"/>
      <c r="BO366" s="26"/>
      <c r="BP366" s="26"/>
      <c r="BQ366" s="26"/>
      <c r="BR366" s="26"/>
      <c r="BS366" s="26"/>
      <c r="BT366" s="26"/>
      <c r="BU366" s="26"/>
      <c r="BV366" s="26"/>
      <c r="BW366" s="26"/>
      <c r="BX366" s="26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26"/>
      <c r="CP366" s="26"/>
      <c r="CQ366" s="26"/>
      <c r="CR366" s="26"/>
      <c r="CS366" s="26"/>
      <c r="CT366" s="26"/>
      <c r="CU366" s="26"/>
      <c r="CV366" s="26"/>
      <c r="CW366" s="26"/>
      <c r="CX366" s="26"/>
      <c r="CY366" s="26"/>
      <c r="CZ366" s="26"/>
      <c r="DA366" s="26"/>
      <c r="DB366" s="26"/>
      <c r="DC366" s="26"/>
      <c r="DD366" s="26"/>
    </row>
    <row r="367" spans="59:108" x14ac:dyDescent="0.2">
      <c r="BG367" s="26"/>
      <c r="BH367" s="26"/>
      <c r="BI367" s="26"/>
      <c r="BJ367" s="26"/>
      <c r="BK367" s="26"/>
      <c r="BL367" s="26"/>
      <c r="BM367" s="26"/>
      <c r="BN367" s="26"/>
      <c r="BO367" s="26"/>
      <c r="BP367" s="26"/>
      <c r="BQ367" s="26"/>
      <c r="BR367" s="26"/>
      <c r="BS367" s="26"/>
      <c r="BT367" s="26"/>
      <c r="BU367" s="26"/>
      <c r="BV367" s="26"/>
      <c r="BW367" s="26"/>
      <c r="BX367" s="26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26"/>
      <c r="CP367" s="26"/>
      <c r="CQ367" s="26"/>
      <c r="CR367" s="26"/>
      <c r="CS367" s="26"/>
      <c r="CT367" s="26"/>
      <c r="CU367" s="26"/>
      <c r="CV367" s="26"/>
      <c r="CW367" s="26"/>
      <c r="CX367" s="26"/>
      <c r="CY367" s="26"/>
      <c r="CZ367" s="26"/>
      <c r="DA367" s="26"/>
      <c r="DB367" s="26"/>
      <c r="DC367" s="26"/>
      <c r="DD367" s="26"/>
    </row>
    <row r="368" spans="59:108" x14ac:dyDescent="0.2">
      <c r="BG368" s="26"/>
      <c r="BH368" s="26"/>
      <c r="BI368" s="26"/>
      <c r="BJ368" s="26"/>
      <c r="BK368" s="26"/>
      <c r="BL368" s="26"/>
      <c r="BM368" s="26"/>
      <c r="BN368" s="26"/>
      <c r="BO368" s="26"/>
      <c r="BP368" s="26"/>
      <c r="BQ368" s="26"/>
      <c r="BR368" s="26"/>
      <c r="BS368" s="26"/>
      <c r="BT368" s="26"/>
      <c r="BU368" s="26"/>
      <c r="BV368" s="26"/>
      <c r="BW368" s="26"/>
      <c r="BX368" s="26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26"/>
      <c r="CP368" s="26"/>
      <c r="CQ368" s="26"/>
      <c r="CR368" s="26"/>
      <c r="CS368" s="26"/>
      <c r="CT368" s="26"/>
      <c r="CU368" s="26"/>
      <c r="CV368" s="26"/>
      <c r="CW368" s="26"/>
      <c r="CX368" s="26"/>
      <c r="CY368" s="26"/>
      <c r="CZ368" s="26"/>
      <c r="DA368" s="26"/>
      <c r="DB368" s="26"/>
      <c r="DC368" s="26"/>
      <c r="DD368" s="26"/>
    </row>
    <row r="369" spans="59:108" x14ac:dyDescent="0.2">
      <c r="BG369" s="26"/>
      <c r="BH369" s="26"/>
      <c r="BI369" s="26"/>
      <c r="BJ369" s="26"/>
      <c r="BK369" s="26"/>
      <c r="BL369" s="26"/>
      <c r="BM369" s="26"/>
      <c r="BN369" s="26"/>
      <c r="BO369" s="26"/>
      <c r="BP369" s="26"/>
      <c r="BQ369" s="26"/>
      <c r="BR369" s="26"/>
      <c r="BS369" s="26"/>
      <c r="BT369" s="26"/>
      <c r="BU369" s="26"/>
      <c r="BV369" s="26"/>
      <c r="BW369" s="26"/>
      <c r="BX369" s="26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26"/>
      <c r="CP369" s="26"/>
      <c r="CQ369" s="26"/>
      <c r="CR369" s="26"/>
      <c r="CS369" s="26"/>
      <c r="CT369" s="26"/>
      <c r="CU369" s="26"/>
      <c r="CV369" s="26"/>
      <c r="CW369" s="26"/>
      <c r="CX369" s="26"/>
      <c r="CY369" s="26"/>
      <c r="CZ369" s="26"/>
      <c r="DA369" s="26"/>
      <c r="DB369" s="26"/>
      <c r="DC369" s="26"/>
      <c r="DD369" s="26"/>
    </row>
    <row r="370" spans="59:108" x14ac:dyDescent="0.2">
      <c r="BG370" s="26"/>
      <c r="BH370" s="26"/>
      <c r="BI370" s="26"/>
      <c r="BJ370" s="26"/>
      <c r="BK370" s="26"/>
      <c r="BL370" s="26"/>
      <c r="BM370" s="26"/>
      <c r="BN370" s="26"/>
      <c r="BO370" s="26"/>
      <c r="BP370" s="26"/>
      <c r="BQ370" s="26"/>
      <c r="BR370" s="26"/>
      <c r="BS370" s="26"/>
      <c r="BT370" s="26"/>
      <c r="BU370" s="26"/>
      <c r="BV370" s="26"/>
      <c r="BW370" s="26"/>
      <c r="BX370" s="26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26"/>
      <c r="CP370" s="26"/>
      <c r="CQ370" s="26"/>
      <c r="CR370" s="26"/>
      <c r="CS370" s="26"/>
      <c r="CT370" s="26"/>
      <c r="CU370" s="26"/>
      <c r="CV370" s="26"/>
      <c r="CW370" s="26"/>
      <c r="CX370" s="26"/>
      <c r="CY370" s="26"/>
      <c r="CZ370" s="26"/>
      <c r="DA370" s="26"/>
      <c r="DB370" s="26"/>
      <c r="DC370" s="26"/>
      <c r="DD370" s="26"/>
    </row>
    <row r="371" spans="59:108" x14ac:dyDescent="0.2">
      <c r="BG371" s="26"/>
      <c r="BH371" s="26"/>
      <c r="BI371" s="26"/>
      <c r="BJ371" s="26"/>
      <c r="BK371" s="26"/>
      <c r="BL371" s="26"/>
      <c r="BM371" s="26"/>
      <c r="BN371" s="26"/>
      <c r="BO371" s="26"/>
      <c r="BP371" s="26"/>
      <c r="BQ371" s="26"/>
      <c r="BR371" s="26"/>
      <c r="BS371" s="26"/>
      <c r="BT371" s="26"/>
      <c r="BU371" s="26"/>
      <c r="BV371" s="26"/>
      <c r="BW371" s="26"/>
      <c r="BX371" s="26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26"/>
      <c r="CP371" s="26"/>
      <c r="CQ371" s="26"/>
      <c r="CR371" s="26"/>
      <c r="CS371" s="26"/>
      <c r="CT371" s="26"/>
      <c r="CU371" s="26"/>
      <c r="CV371" s="26"/>
      <c r="CW371" s="26"/>
      <c r="CX371" s="26"/>
      <c r="CY371" s="26"/>
      <c r="CZ371" s="26"/>
      <c r="DA371" s="26"/>
      <c r="DB371" s="26"/>
      <c r="DC371" s="26"/>
      <c r="DD371" s="26"/>
    </row>
    <row r="372" spans="59:108" x14ac:dyDescent="0.2">
      <c r="BG372" s="26"/>
      <c r="BH372" s="26"/>
      <c r="BI372" s="26"/>
      <c r="BJ372" s="26"/>
      <c r="BK372" s="26"/>
      <c r="BL372" s="26"/>
      <c r="BM372" s="26"/>
      <c r="BN372" s="26"/>
      <c r="BO372" s="26"/>
      <c r="BP372" s="26"/>
      <c r="BQ372" s="26"/>
      <c r="BR372" s="26"/>
      <c r="BS372" s="26"/>
      <c r="BT372" s="26"/>
      <c r="BU372" s="26"/>
      <c r="BV372" s="26"/>
      <c r="BW372" s="26"/>
      <c r="BX372" s="26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26"/>
      <c r="CP372" s="26"/>
      <c r="CQ372" s="26"/>
      <c r="CR372" s="26"/>
      <c r="CS372" s="26"/>
      <c r="CT372" s="26"/>
      <c r="CU372" s="26"/>
      <c r="CV372" s="26"/>
      <c r="CW372" s="26"/>
      <c r="CX372" s="26"/>
      <c r="CY372" s="26"/>
      <c r="CZ372" s="26"/>
      <c r="DA372" s="26"/>
      <c r="DB372" s="26"/>
      <c r="DC372" s="26"/>
      <c r="DD372" s="26"/>
    </row>
    <row r="373" spans="59:108" x14ac:dyDescent="0.2">
      <c r="BG373" s="26"/>
      <c r="BH373" s="26"/>
      <c r="BI373" s="26"/>
      <c r="BJ373" s="26"/>
      <c r="BK373" s="26"/>
      <c r="BL373" s="26"/>
      <c r="BM373" s="26"/>
      <c r="BN373" s="26"/>
      <c r="BO373" s="26"/>
      <c r="BP373" s="26"/>
      <c r="BQ373" s="26"/>
      <c r="BR373" s="26"/>
      <c r="BS373" s="26"/>
      <c r="BT373" s="26"/>
      <c r="BU373" s="26"/>
      <c r="BV373" s="26"/>
      <c r="BW373" s="26"/>
      <c r="BX373" s="26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26"/>
      <c r="CP373" s="26"/>
      <c r="CQ373" s="26"/>
      <c r="CR373" s="26"/>
      <c r="CS373" s="26"/>
      <c r="CT373" s="26"/>
      <c r="CU373" s="26"/>
      <c r="CV373" s="26"/>
      <c r="CW373" s="26"/>
      <c r="CX373" s="26"/>
      <c r="CY373" s="26"/>
      <c r="CZ373" s="26"/>
      <c r="DA373" s="26"/>
      <c r="DB373" s="26"/>
      <c r="DC373" s="26"/>
      <c r="DD373" s="26"/>
    </row>
    <row r="374" spans="59:108" x14ac:dyDescent="0.2">
      <c r="BG374" s="26"/>
      <c r="BH374" s="26"/>
      <c r="BI374" s="26"/>
      <c r="BJ374" s="26"/>
      <c r="BK374" s="26"/>
      <c r="BL374" s="26"/>
      <c r="BM374" s="26"/>
      <c r="BN374" s="26"/>
      <c r="BO374" s="26"/>
      <c r="BP374" s="26"/>
      <c r="BQ374" s="26"/>
      <c r="BR374" s="26"/>
      <c r="BS374" s="26"/>
      <c r="BT374" s="26"/>
      <c r="BU374" s="26"/>
      <c r="BV374" s="26"/>
      <c r="BW374" s="26"/>
      <c r="BX374" s="26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26"/>
      <c r="CP374" s="26"/>
      <c r="CQ374" s="26"/>
      <c r="CR374" s="26"/>
      <c r="CS374" s="26"/>
      <c r="CT374" s="26"/>
      <c r="CU374" s="26"/>
      <c r="CV374" s="26"/>
      <c r="CW374" s="26"/>
      <c r="CX374" s="26"/>
      <c r="CY374" s="26"/>
      <c r="CZ374" s="26"/>
      <c r="DA374" s="26"/>
      <c r="DB374" s="26"/>
      <c r="DC374" s="26"/>
      <c r="DD374" s="26"/>
    </row>
    <row r="375" spans="59:108" x14ac:dyDescent="0.2">
      <c r="BG375" s="26"/>
      <c r="BH375" s="26"/>
      <c r="BI375" s="26"/>
      <c r="BJ375" s="26"/>
      <c r="BK375" s="26"/>
      <c r="BL375" s="26"/>
      <c r="BM375" s="26"/>
      <c r="BN375" s="26"/>
      <c r="BO375" s="26"/>
      <c r="BP375" s="26"/>
      <c r="BQ375" s="26"/>
      <c r="BR375" s="26"/>
      <c r="BS375" s="26"/>
      <c r="BT375" s="26"/>
      <c r="BU375" s="26"/>
      <c r="BV375" s="26"/>
      <c r="BW375" s="26"/>
      <c r="BX375" s="26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26"/>
      <c r="CP375" s="26"/>
      <c r="CQ375" s="26"/>
      <c r="CR375" s="26"/>
      <c r="CS375" s="26"/>
      <c r="CT375" s="26"/>
      <c r="CU375" s="26"/>
      <c r="CV375" s="26"/>
      <c r="CW375" s="26"/>
      <c r="CX375" s="26"/>
      <c r="CY375" s="26"/>
      <c r="CZ375" s="26"/>
      <c r="DA375" s="26"/>
      <c r="DB375" s="26"/>
      <c r="DC375" s="26"/>
      <c r="DD375" s="26"/>
    </row>
    <row r="376" spans="59:108" x14ac:dyDescent="0.2">
      <c r="BG376" s="26"/>
      <c r="BH376" s="26"/>
      <c r="BI376" s="26"/>
      <c r="BJ376" s="26"/>
      <c r="BK376" s="26"/>
      <c r="BL376" s="26"/>
      <c r="BM376" s="26"/>
      <c r="BN376" s="26"/>
      <c r="BO376" s="26"/>
      <c r="BP376" s="26"/>
      <c r="BQ376" s="26"/>
      <c r="BR376" s="26"/>
      <c r="BS376" s="26"/>
      <c r="BT376" s="26"/>
      <c r="BU376" s="26"/>
      <c r="BV376" s="26"/>
      <c r="BW376" s="26"/>
      <c r="BX376" s="26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26"/>
      <c r="CP376" s="26"/>
      <c r="CQ376" s="26"/>
      <c r="CR376" s="26"/>
      <c r="CS376" s="26"/>
      <c r="CT376" s="26"/>
      <c r="CU376" s="26"/>
      <c r="CV376" s="26"/>
      <c r="CW376" s="26"/>
      <c r="CX376" s="26"/>
      <c r="CY376" s="26"/>
      <c r="CZ376" s="26"/>
      <c r="DA376" s="26"/>
      <c r="DB376" s="26"/>
      <c r="DC376" s="26"/>
      <c r="DD376" s="26"/>
    </row>
    <row r="377" spans="59:108" x14ac:dyDescent="0.2">
      <c r="BG377" s="26"/>
      <c r="BH377" s="26"/>
      <c r="BI377" s="26"/>
      <c r="BJ377" s="26"/>
      <c r="BK377" s="26"/>
      <c r="BL377" s="26"/>
      <c r="BM377" s="26"/>
      <c r="BN377" s="26"/>
      <c r="BO377" s="26"/>
      <c r="BP377" s="26"/>
      <c r="BQ377" s="26"/>
      <c r="BR377" s="26"/>
      <c r="BS377" s="26"/>
      <c r="BT377" s="26"/>
      <c r="BU377" s="26"/>
      <c r="BV377" s="26"/>
      <c r="BW377" s="26"/>
      <c r="BX377" s="26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26"/>
      <c r="CP377" s="26"/>
      <c r="CQ377" s="26"/>
      <c r="CR377" s="26"/>
      <c r="CS377" s="26"/>
      <c r="CT377" s="26"/>
      <c r="CU377" s="26"/>
      <c r="CV377" s="26"/>
      <c r="CW377" s="26"/>
      <c r="CX377" s="26"/>
      <c r="CY377" s="26"/>
      <c r="CZ377" s="26"/>
      <c r="DA377" s="26"/>
      <c r="DB377" s="26"/>
      <c r="DC377" s="26"/>
      <c r="DD377" s="26"/>
    </row>
    <row r="378" spans="59:108" x14ac:dyDescent="0.2">
      <c r="BG378" s="26"/>
      <c r="BH378" s="26"/>
      <c r="BI378" s="26"/>
      <c r="BJ378" s="26"/>
      <c r="BK378" s="26"/>
      <c r="BL378" s="26"/>
      <c r="BM378" s="26"/>
      <c r="BN378" s="26"/>
      <c r="BO378" s="26"/>
      <c r="BP378" s="26"/>
      <c r="BQ378" s="26"/>
      <c r="BR378" s="26"/>
      <c r="BS378" s="26"/>
      <c r="BT378" s="26"/>
      <c r="BU378" s="26"/>
      <c r="BV378" s="26"/>
      <c r="BW378" s="26"/>
      <c r="BX378" s="26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26"/>
      <c r="CP378" s="26"/>
      <c r="CQ378" s="26"/>
      <c r="CR378" s="26"/>
      <c r="CS378" s="26"/>
      <c r="CT378" s="26"/>
      <c r="CU378" s="26"/>
      <c r="CV378" s="26"/>
      <c r="CW378" s="26"/>
      <c r="CX378" s="26"/>
      <c r="CY378" s="26"/>
      <c r="CZ378" s="26"/>
      <c r="DA378" s="26"/>
      <c r="DB378" s="26"/>
      <c r="DC378" s="26"/>
      <c r="DD378" s="26"/>
    </row>
    <row r="379" spans="59:108" x14ac:dyDescent="0.2">
      <c r="BG379" s="26"/>
      <c r="BH379" s="26"/>
      <c r="BI379" s="26"/>
      <c r="BJ379" s="26"/>
      <c r="BK379" s="26"/>
      <c r="BL379" s="26"/>
      <c r="BM379" s="26"/>
      <c r="BN379" s="26"/>
      <c r="BO379" s="26"/>
      <c r="BP379" s="26"/>
      <c r="BQ379" s="26"/>
      <c r="BR379" s="26"/>
      <c r="BS379" s="26"/>
      <c r="BT379" s="26"/>
      <c r="BU379" s="26"/>
      <c r="BV379" s="26"/>
      <c r="BW379" s="26"/>
      <c r="BX379" s="26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26"/>
      <c r="CP379" s="26"/>
      <c r="CQ379" s="26"/>
      <c r="CR379" s="26"/>
      <c r="CS379" s="26"/>
      <c r="CT379" s="26"/>
      <c r="CU379" s="26"/>
      <c r="CV379" s="26"/>
      <c r="CW379" s="26"/>
      <c r="CX379" s="26"/>
      <c r="CY379" s="26"/>
      <c r="CZ379" s="26"/>
      <c r="DA379" s="26"/>
      <c r="DB379" s="26"/>
      <c r="DC379" s="26"/>
      <c r="DD379" s="26"/>
    </row>
    <row r="380" spans="59:108" x14ac:dyDescent="0.2">
      <c r="BG380" s="26"/>
      <c r="BH380" s="26"/>
      <c r="BI380" s="26"/>
      <c r="BJ380" s="26"/>
      <c r="BK380" s="26"/>
      <c r="BL380" s="26"/>
      <c r="BM380" s="26"/>
      <c r="BN380" s="26"/>
      <c r="BO380" s="26"/>
      <c r="BP380" s="26"/>
      <c r="BQ380" s="26"/>
      <c r="BR380" s="26"/>
      <c r="BS380" s="26"/>
      <c r="BT380" s="26"/>
      <c r="BU380" s="26"/>
      <c r="BV380" s="26"/>
      <c r="BW380" s="26"/>
      <c r="BX380" s="26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26"/>
      <c r="CP380" s="26"/>
      <c r="CQ380" s="26"/>
      <c r="CR380" s="26"/>
      <c r="CS380" s="26"/>
      <c r="CT380" s="26"/>
      <c r="CU380" s="26"/>
      <c r="CV380" s="26"/>
      <c r="CW380" s="26"/>
      <c r="CX380" s="26"/>
      <c r="CY380" s="26"/>
      <c r="CZ380" s="26"/>
      <c r="DA380" s="26"/>
      <c r="DB380" s="26"/>
      <c r="DC380" s="26"/>
      <c r="DD380" s="26"/>
    </row>
    <row r="381" spans="59:108" x14ac:dyDescent="0.2">
      <c r="BG381" s="26"/>
      <c r="BH381" s="26"/>
      <c r="BI381" s="26"/>
      <c r="BJ381" s="26"/>
      <c r="BK381" s="26"/>
      <c r="BL381" s="26"/>
      <c r="BM381" s="26"/>
      <c r="BN381" s="26"/>
      <c r="BO381" s="26"/>
      <c r="BP381" s="26"/>
      <c r="BQ381" s="26"/>
      <c r="BR381" s="26"/>
      <c r="BS381" s="26"/>
      <c r="BT381" s="26"/>
      <c r="BU381" s="26"/>
      <c r="BV381" s="26"/>
      <c r="BW381" s="26"/>
      <c r="BX381" s="26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26"/>
      <c r="CP381" s="26"/>
      <c r="CQ381" s="26"/>
      <c r="CR381" s="26"/>
      <c r="CS381" s="26"/>
      <c r="CT381" s="26"/>
      <c r="CU381" s="26"/>
      <c r="CV381" s="26"/>
      <c r="CW381" s="26"/>
      <c r="CX381" s="26"/>
      <c r="CY381" s="26"/>
      <c r="CZ381" s="26"/>
      <c r="DA381" s="26"/>
      <c r="DB381" s="26"/>
      <c r="DC381" s="26"/>
      <c r="DD381" s="26"/>
    </row>
    <row r="382" spans="59:108" x14ac:dyDescent="0.2">
      <c r="BG382" s="26"/>
      <c r="BH382" s="26"/>
      <c r="BI382" s="26"/>
      <c r="BJ382" s="26"/>
      <c r="BK382" s="26"/>
      <c r="BL382" s="26"/>
      <c r="BM382" s="26"/>
      <c r="BN382" s="26"/>
      <c r="BO382" s="26"/>
      <c r="BP382" s="26"/>
      <c r="BQ382" s="26"/>
      <c r="BR382" s="26"/>
      <c r="BS382" s="26"/>
      <c r="BT382" s="26"/>
      <c r="BU382" s="26"/>
      <c r="BV382" s="26"/>
      <c r="BW382" s="26"/>
      <c r="BX382" s="26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26"/>
      <c r="CP382" s="26"/>
      <c r="CQ382" s="26"/>
      <c r="CR382" s="26"/>
      <c r="CS382" s="26"/>
      <c r="CT382" s="26"/>
      <c r="CU382" s="26"/>
      <c r="CV382" s="26"/>
      <c r="CW382" s="26"/>
      <c r="CX382" s="26"/>
      <c r="CY382" s="26"/>
      <c r="CZ382" s="26"/>
      <c r="DA382" s="26"/>
      <c r="DB382" s="26"/>
      <c r="DC382" s="26"/>
      <c r="DD382" s="26"/>
    </row>
    <row r="383" spans="59:108" x14ac:dyDescent="0.2">
      <c r="BG383" s="26"/>
      <c r="BH383" s="26"/>
      <c r="BI383" s="26"/>
      <c r="BJ383" s="26"/>
      <c r="BK383" s="26"/>
      <c r="BL383" s="26"/>
      <c r="BM383" s="26"/>
      <c r="BN383" s="26"/>
      <c r="BO383" s="26"/>
      <c r="BP383" s="26"/>
      <c r="BQ383" s="26"/>
      <c r="BR383" s="26"/>
      <c r="BS383" s="26"/>
      <c r="BT383" s="26"/>
      <c r="BU383" s="26"/>
      <c r="BV383" s="26"/>
      <c r="BW383" s="26"/>
      <c r="BX383" s="26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26"/>
      <c r="CP383" s="26"/>
      <c r="CQ383" s="26"/>
      <c r="CR383" s="26"/>
      <c r="CS383" s="26"/>
      <c r="CT383" s="26"/>
      <c r="CU383" s="26"/>
      <c r="CV383" s="26"/>
      <c r="CW383" s="26"/>
      <c r="CX383" s="26"/>
      <c r="CY383" s="26"/>
      <c r="CZ383" s="26"/>
      <c r="DA383" s="26"/>
      <c r="DB383" s="26"/>
      <c r="DC383" s="26"/>
      <c r="DD383" s="26"/>
    </row>
    <row r="384" spans="59:108" x14ac:dyDescent="0.2">
      <c r="BG384" s="26"/>
      <c r="BH384" s="26"/>
      <c r="BI384" s="26"/>
      <c r="BJ384" s="26"/>
      <c r="BK384" s="26"/>
      <c r="BL384" s="26"/>
      <c r="BM384" s="26"/>
      <c r="BN384" s="26"/>
      <c r="BO384" s="26"/>
      <c r="BP384" s="26"/>
      <c r="BQ384" s="26"/>
      <c r="BR384" s="26"/>
      <c r="BS384" s="26"/>
      <c r="BT384" s="26"/>
      <c r="BU384" s="26"/>
      <c r="BV384" s="26"/>
      <c r="BW384" s="26"/>
      <c r="BX384" s="26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26"/>
      <c r="CP384" s="26"/>
      <c r="CQ384" s="26"/>
      <c r="CR384" s="26"/>
      <c r="CS384" s="26"/>
      <c r="CT384" s="26"/>
      <c r="CU384" s="26"/>
      <c r="CV384" s="26"/>
      <c r="CW384" s="26"/>
      <c r="CX384" s="26"/>
      <c r="CY384" s="26"/>
      <c r="CZ384" s="26"/>
      <c r="DA384" s="26"/>
      <c r="DB384" s="26"/>
      <c r="DC384" s="26"/>
      <c r="DD384" s="26"/>
    </row>
    <row r="385" spans="59:108" x14ac:dyDescent="0.2">
      <c r="BG385" s="26"/>
      <c r="BH385" s="26"/>
      <c r="BI385" s="26"/>
      <c r="BJ385" s="26"/>
      <c r="BK385" s="26"/>
      <c r="BL385" s="26"/>
      <c r="BM385" s="26"/>
      <c r="BN385" s="26"/>
      <c r="BO385" s="26"/>
      <c r="BP385" s="26"/>
      <c r="BQ385" s="26"/>
      <c r="BR385" s="26"/>
      <c r="BS385" s="26"/>
      <c r="BT385" s="26"/>
      <c r="BU385" s="26"/>
      <c r="BV385" s="26"/>
      <c r="BW385" s="26"/>
      <c r="BX385" s="26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26"/>
      <c r="CP385" s="26"/>
      <c r="CQ385" s="26"/>
      <c r="CR385" s="26"/>
      <c r="CS385" s="26"/>
      <c r="CT385" s="26"/>
      <c r="CU385" s="26"/>
      <c r="CV385" s="26"/>
      <c r="CW385" s="26"/>
      <c r="CX385" s="26"/>
      <c r="CY385" s="26"/>
      <c r="CZ385" s="26"/>
      <c r="DA385" s="26"/>
      <c r="DB385" s="26"/>
      <c r="DC385" s="26"/>
      <c r="DD385" s="26"/>
    </row>
    <row r="386" spans="59:108" x14ac:dyDescent="0.2">
      <c r="BG386" s="26"/>
      <c r="BH386" s="26"/>
      <c r="BI386" s="26"/>
      <c r="BJ386" s="26"/>
      <c r="BK386" s="26"/>
      <c r="BL386" s="26"/>
      <c r="BM386" s="26"/>
      <c r="BN386" s="26"/>
      <c r="BO386" s="26"/>
      <c r="BP386" s="26"/>
      <c r="BQ386" s="26"/>
      <c r="BR386" s="26"/>
      <c r="BS386" s="26"/>
      <c r="BT386" s="26"/>
      <c r="BU386" s="26"/>
      <c r="BV386" s="26"/>
      <c r="BW386" s="26"/>
      <c r="BX386" s="26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26"/>
      <c r="CP386" s="26"/>
      <c r="CQ386" s="26"/>
      <c r="CR386" s="26"/>
      <c r="CS386" s="26"/>
      <c r="CT386" s="26"/>
      <c r="CU386" s="26"/>
      <c r="CV386" s="26"/>
      <c r="CW386" s="26"/>
      <c r="CX386" s="26"/>
      <c r="CY386" s="26"/>
      <c r="CZ386" s="26"/>
      <c r="DA386" s="26"/>
      <c r="DB386" s="26"/>
      <c r="DC386" s="26"/>
      <c r="DD386" s="26"/>
    </row>
    <row r="387" spans="59:108" x14ac:dyDescent="0.2">
      <c r="BG387" s="26"/>
      <c r="BH387" s="26"/>
      <c r="BI387" s="26"/>
      <c r="BJ387" s="26"/>
      <c r="BK387" s="26"/>
      <c r="BL387" s="26"/>
      <c r="BM387" s="26"/>
      <c r="BN387" s="26"/>
      <c r="BO387" s="26"/>
      <c r="BP387" s="26"/>
      <c r="BQ387" s="26"/>
      <c r="BR387" s="26"/>
      <c r="BS387" s="26"/>
      <c r="BT387" s="26"/>
      <c r="BU387" s="26"/>
      <c r="BV387" s="26"/>
      <c r="BW387" s="26"/>
      <c r="BX387" s="26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26"/>
      <c r="CP387" s="26"/>
      <c r="CQ387" s="26"/>
      <c r="CR387" s="26"/>
      <c r="CS387" s="26"/>
      <c r="CT387" s="26"/>
      <c r="CU387" s="26"/>
      <c r="CV387" s="26"/>
      <c r="CW387" s="26"/>
      <c r="CX387" s="26"/>
      <c r="CY387" s="26"/>
      <c r="CZ387" s="26"/>
      <c r="DA387" s="26"/>
      <c r="DB387" s="26"/>
      <c r="DC387" s="26"/>
      <c r="DD387" s="26"/>
    </row>
    <row r="388" spans="59:108" x14ac:dyDescent="0.2">
      <c r="BG388" s="26"/>
      <c r="BH388" s="26"/>
      <c r="BI388" s="26"/>
      <c r="BJ388" s="26"/>
      <c r="BK388" s="26"/>
      <c r="BL388" s="26"/>
      <c r="BM388" s="26"/>
      <c r="BN388" s="26"/>
      <c r="BO388" s="26"/>
      <c r="BP388" s="26"/>
      <c r="BQ388" s="26"/>
      <c r="BR388" s="26"/>
      <c r="BS388" s="26"/>
      <c r="BT388" s="26"/>
      <c r="BU388" s="26"/>
      <c r="BV388" s="26"/>
      <c r="BW388" s="26"/>
      <c r="BX388" s="26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26"/>
      <c r="CP388" s="26"/>
      <c r="CQ388" s="26"/>
      <c r="CR388" s="26"/>
      <c r="CS388" s="26"/>
      <c r="CT388" s="26"/>
      <c r="CU388" s="26"/>
      <c r="CV388" s="26"/>
      <c r="CW388" s="26"/>
      <c r="CX388" s="26"/>
      <c r="CY388" s="26"/>
      <c r="CZ388" s="26"/>
      <c r="DA388" s="26"/>
      <c r="DB388" s="26"/>
      <c r="DC388" s="26"/>
      <c r="DD388" s="26"/>
    </row>
    <row r="389" spans="59:108" x14ac:dyDescent="0.2">
      <c r="BG389" s="26"/>
      <c r="BH389" s="26"/>
      <c r="BI389" s="26"/>
      <c r="BJ389" s="26"/>
      <c r="BK389" s="26"/>
      <c r="BL389" s="26"/>
      <c r="BM389" s="26"/>
      <c r="BN389" s="26"/>
      <c r="BO389" s="26"/>
      <c r="BP389" s="26"/>
      <c r="BQ389" s="26"/>
      <c r="BR389" s="26"/>
      <c r="BS389" s="26"/>
      <c r="BT389" s="26"/>
      <c r="BU389" s="26"/>
      <c r="BV389" s="26"/>
      <c r="BW389" s="26"/>
      <c r="BX389" s="26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26"/>
      <c r="CP389" s="26"/>
      <c r="CQ389" s="26"/>
      <c r="CR389" s="26"/>
      <c r="CS389" s="26"/>
      <c r="CT389" s="26"/>
      <c r="CU389" s="26"/>
      <c r="CV389" s="26"/>
      <c r="CW389" s="26"/>
      <c r="CX389" s="26"/>
      <c r="CY389" s="26"/>
      <c r="CZ389" s="26"/>
      <c r="DA389" s="26"/>
      <c r="DB389" s="26"/>
      <c r="DC389" s="26"/>
      <c r="DD389" s="26"/>
    </row>
    <row r="390" spans="59:108" x14ac:dyDescent="0.2">
      <c r="BG390" s="26"/>
      <c r="BH390" s="26"/>
      <c r="BI390" s="26"/>
      <c r="BJ390" s="26"/>
      <c r="BK390" s="26"/>
      <c r="BL390" s="26"/>
      <c r="BM390" s="26"/>
      <c r="BN390" s="26"/>
      <c r="BO390" s="26"/>
      <c r="BP390" s="26"/>
      <c r="BQ390" s="26"/>
      <c r="BR390" s="26"/>
      <c r="BS390" s="26"/>
      <c r="BT390" s="26"/>
      <c r="BU390" s="26"/>
      <c r="BV390" s="26"/>
      <c r="BW390" s="26"/>
      <c r="BX390" s="26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26"/>
      <c r="CP390" s="26"/>
      <c r="CQ390" s="26"/>
      <c r="CR390" s="26"/>
      <c r="CS390" s="26"/>
      <c r="CT390" s="26"/>
      <c r="CU390" s="26"/>
      <c r="CV390" s="26"/>
      <c r="CW390" s="26"/>
      <c r="CX390" s="26"/>
      <c r="CY390" s="26"/>
      <c r="CZ390" s="26"/>
      <c r="DA390" s="26"/>
      <c r="DB390" s="26"/>
      <c r="DC390" s="26"/>
      <c r="DD390" s="26"/>
    </row>
    <row r="391" spans="59:108" x14ac:dyDescent="0.2">
      <c r="BG391" s="26"/>
      <c r="BH391" s="26"/>
      <c r="BI391" s="26"/>
      <c r="BJ391" s="26"/>
      <c r="BK391" s="26"/>
      <c r="BL391" s="26"/>
      <c r="BM391" s="26"/>
      <c r="BN391" s="26"/>
      <c r="BO391" s="26"/>
      <c r="BP391" s="26"/>
      <c r="BQ391" s="26"/>
      <c r="BR391" s="26"/>
      <c r="BS391" s="26"/>
      <c r="BT391" s="26"/>
      <c r="BU391" s="26"/>
      <c r="BV391" s="26"/>
      <c r="BW391" s="26"/>
      <c r="BX391" s="26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26"/>
      <c r="CP391" s="26"/>
      <c r="CQ391" s="26"/>
      <c r="CR391" s="26"/>
      <c r="CS391" s="26"/>
      <c r="CT391" s="26"/>
      <c r="CU391" s="26"/>
      <c r="CV391" s="26"/>
      <c r="CW391" s="26"/>
      <c r="CX391" s="26"/>
      <c r="CY391" s="26"/>
      <c r="CZ391" s="26"/>
      <c r="DA391" s="26"/>
      <c r="DB391" s="26"/>
      <c r="DC391" s="26"/>
      <c r="DD391" s="26"/>
    </row>
    <row r="392" spans="59:108" x14ac:dyDescent="0.2">
      <c r="BG392" s="26"/>
      <c r="BH392" s="26"/>
      <c r="BI392" s="26"/>
      <c r="BJ392" s="26"/>
      <c r="BK392" s="26"/>
      <c r="BL392" s="26"/>
      <c r="BM392" s="26"/>
      <c r="BN392" s="26"/>
      <c r="BO392" s="26"/>
      <c r="BP392" s="26"/>
      <c r="BQ392" s="26"/>
      <c r="BR392" s="26"/>
      <c r="BS392" s="26"/>
      <c r="BT392" s="26"/>
      <c r="BU392" s="26"/>
      <c r="BV392" s="26"/>
      <c r="BW392" s="26"/>
      <c r="BX392" s="26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26"/>
      <c r="CP392" s="26"/>
      <c r="CQ392" s="26"/>
      <c r="CR392" s="26"/>
      <c r="CS392" s="26"/>
      <c r="CT392" s="26"/>
      <c r="CU392" s="26"/>
      <c r="CV392" s="26"/>
      <c r="CW392" s="26"/>
      <c r="CX392" s="26"/>
      <c r="CY392" s="26"/>
      <c r="CZ392" s="26"/>
      <c r="DA392" s="26"/>
      <c r="DB392" s="26"/>
      <c r="DC392" s="26"/>
      <c r="DD392" s="26"/>
    </row>
    <row r="393" spans="59:108" x14ac:dyDescent="0.2">
      <c r="BG393" s="26"/>
      <c r="BH393" s="26"/>
      <c r="BI393" s="26"/>
      <c r="BJ393" s="26"/>
      <c r="BK393" s="26"/>
      <c r="BL393" s="26"/>
      <c r="BM393" s="26"/>
      <c r="BN393" s="26"/>
      <c r="BO393" s="26"/>
      <c r="BP393" s="26"/>
      <c r="BQ393" s="26"/>
      <c r="BR393" s="26"/>
      <c r="BS393" s="26"/>
      <c r="BT393" s="26"/>
      <c r="BU393" s="26"/>
      <c r="BV393" s="26"/>
      <c r="BW393" s="26"/>
      <c r="BX393" s="26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26"/>
      <c r="CP393" s="26"/>
      <c r="CQ393" s="26"/>
      <c r="CR393" s="26"/>
      <c r="CS393" s="26"/>
      <c r="CT393" s="26"/>
      <c r="CU393" s="26"/>
      <c r="CV393" s="26"/>
      <c r="CW393" s="26"/>
      <c r="CX393" s="26"/>
      <c r="CY393" s="26"/>
      <c r="CZ393" s="26"/>
      <c r="DA393" s="26"/>
      <c r="DB393" s="26"/>
      <c r="DC393" s="26"/>
      <c r="DD393" s="26"/>
    </row>
    <row r="394" spans="59:108" x14ac:dyDescent="0.2">
      <c r="BG394" s="26"/>
      <c r="BH394" s="26"/>
      <c r="BI394" s="26"/>
      <c r="BJ394" s="26"/>
      <c r="BK394" s="26"/>
      <c r="BL394" s="26"/>
      <c r="BM394" s="26"/>
      <c r="BN394" s="26"/>
      <c r="BO394" s="26"/>
      <c r="BP394" s="26"/>
      <c r="BQ394" s="26"/>
      <c r="BR394" s="26"/>
      <c r="BS394" s="26"/>
      <c r="BT394" s="26"/>
      <c r="BU394" s="26"/>
      <c r="BV394" s="26"/>
      <c r="BW394" s="26"/>
      <c r="BX394" s="26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26"/>
      <c r="CP394" s="26"/>
      <c r="CQ394" s="26"/>
      <c r="CR394" s="26"/>
      <c r="CS394" s="26"/>
      <c r="CT394" s="26"/>
      <c r="CU394" s="26"/>
      <c r="CV394" s="26"/>
      <c r="CW394" s="26"/>
      <c r="CX394" s="26"/>
      <c r="CY394" s="26"/>
      <c r="CZ394" s="26"/>
      <c r="DA394" s="26"/>
      <c r="DB394" s="26"/>
      <c r="DC394" s="26"/>
      <c r="DD394" s="26"/>
    </row>
    <row r="395" spans="59:108" x14ac:dyDescent="0.2">
      <c r="BG395" s="26"/>
      <c r="BH395" s="26"/>
      <c r="BI395" s="26"/>
      <c r="BJ395" s="26"/>
      <c r="BK395" s="26"/>
      <c r="BL395" s="26"/>
      <c r="BM395" s="26"/>
      <c r="BN395" s="26"/>
      <c r="BO395" s="26"/>
      <c r="BP395" s="26"/>
      <c r="BQ395" s="26"/>
      <c r="BR395" s="26"/>
      <c r="BS395" s="26"/>
      <c r="BT395" s="26"/>
      <c r="BU395" s="26"/>
      <c r="BV395" s="26"/>
      <c r="BW395" s="26"/>
      <c r="BX395" s="26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26"/>
      <c r="CP395" s="26"/>
      <c r="CQ395" s="26"/>
      <c r="CR395" s="26"/>
      <c r="CS395" s="26"/>
      <c r="CT395" s="26"/>
      <c r="CU395" s="26"/>
      <c r="CV395" s="26"/>
      <c r="CW395" s="26"/>
      <c r="CX395" s="26"/>
      <c r="CY395" s="26"/>
      <c r="CZ395" s="26"/>
      <c r="DA395" s="26"/>
      <c r="DB395" s="26"/>
      <c r="DC395" s="26"/>
      <c r="DD395" s="26"/>
    </row>
    <row r="396" spans="59:108" x14ac:dyDescent="0.2">
      <c r="BG396" s="26"/>
      <c r="BH396" s="26"/>
      <c r="BI396" s="26"/>
      <c r="BJ396" s="26"/>
      <c r="BK396" s="26"/>
      <c r="BL396" s="26"/>
      <c r="BM396" s="26"/>
      <c r="BN396" s="26"/>
      <c r="BO396" s="26"/>
      <c r="BP396" s="26"/>
      <c r="BQ396" s="26"/>
      <c r="BR396" s="26"/>
      <c r="BS396" s="26"/>
      <c r="BT396" s="26"/>
      <c r="BU396" s="26"/>
      <c r="BV396" s="26"/>
      <c r="BW396" s="26"/>
      <c r="BX396" s="26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26"/>
      <c r="CP396" s="26"/>
      <c r="CQ396" s="26"/>
      <c r="CR396" s="26"/>
      <c r="CS396" s="26"/>
      <c r="CT396" s="26"/>
      <c r="CU396" s="26"/>
      <c r="CV396" s="26"/>
      <c r="CW396" s="26"/>
      <c r="CX396" s="26"/>
      <c r="CY396" s="26"/>
      <c r="CZ396" s="26"/>
      <c r="DA396" s="26"/>
      <c r="DB396" s="26"/>
      <c r="DC396" s="26"/>
      <c r="DD396" s="26"/>
    </row>
    <row r="397" spans="59:108" x14ac:dyDescent="0.2">
      <c r="BG397" s="26"/>
      <c r="BH397" s="26"/>
      <c r="BI397" s="26"/>
      <c r="BJ397" s="26"/>
      <c r="BK397" s="26"/>
      <c r="BL397" s="26"/>
      <c r="BM397" s="26"/>
      <c r="BN397" s="26"/>
      <c r="BO397" s="26"/>
      <c r="BP397" s="26"/>
      <c r="BQ397" s="26"/>
      <c r="BR397" s="26"/>
      <c r="BS397" s="26"/>
      <c r="BT397" s="26"/>
      <c r="BU397" s="26"/>
      <c r="BV397" s="26"/>
      <c r="BW397" s="26"/>
      <c r="BX397" s="26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26"/>
      <c r="CP397" s="26"/>
      <c r="CQ397" s="26"/>
      <c r="CR397" s="26"/>
      <c r="CS397" s="26"/>
      <c r="CT397" s="26"/>
      <c r="CU397" s="26"/>
      <c r="CV397" s="26"/>
      <c r="CW397" s="26"/>
      <c r="CX397" s="26"/>
      <c r="CY397" s="26"/>
      <c r="CZ397" s="26"/>
      <c r="DA397" s="26"/>
      <c r="DB397" s="26"/>
      <c r="DC397" s="26"/>
      <c r="DD397" s="26"/>
    </row>
    <row r="398" spans="59:108" x14ac:dyDescent="0.2">
      <c r="BG398" s="26"/>
      <c r="BH398" s="26"/>
      <c r="BI398" s="26"/>
      <c r="BJ398" s="26"/>
      <c r="BK398" s="26"/>
      <c r="BL398" s="26"/>
      <c r="BM398" s="26"/>
      <c r="BN398" s="26"/>
      <c r="BO398" s="26"/>
      <c r="BP398" s="26"/>
      <c r="BQ398" s="26"/>
      <c r="BR398" s="26"/>
      <c r="BS398" s="26"/>
      <c r="BT398" s="26"/>
      <c r="BU398" s="26"/>
      <c r="BV398" s="26"/>
      <c r="BW398" s="26"/>
      <c r="BX398" s="26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26"/>
      <c r="CP398" s="26"/>
      <c r="CQ398" s="26"/>
      <c r="CR398" s="26"/>
      <c r="CS398" s="26"/>
      <c r="CT398" s="26"/>
      <c r="CU398" s="26"/>
      <c r="CV398" s="26"/>
      <c r="CW398" s="26"/>
      <c r="CX398" s="26"/>
      <c r="CY398" s="26"/>
      <c r="CZ398" s="26"/>
      <c r="DA398" s="26"/>
      <c r="DB398" s="26"/>
      <c r="DC398" s="26"/>
      <c r="DD398" s="26"/>
    </row>
    <row r="399" spans="59:108" x14ac:dyDescent="0.2">
      <c r="BG399" s="26"/>
      <c r="BH399" s="26"/>
      <c r="BI399" s="26"/>
      <c r="BJ399" s="26"/>
      <c r="BK399" s="26"/>
      <c r="BL399" s="26"/>
      <c r="BM399" s="26"/>
      <c r="BN399" s="26"/>
      <c r="BO399" s="26"/>
      <c r="BP399" s="26"/>
      <c r="BQ399" s="26"/>
      <c r="BR399" s="26"/>
      <c r="BS399" s="26"/>
      <c r="BT399" s="26"/>
      <c r="BU399" s="26"/>
      <c r="BV399" s="26"/>
      <c r="BW399" s="26"/>
      <c r="BX399" s="26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26"/>
      <c r="CP399" s="26"/>
      <c r="CQ399" s="26"/>
      <c r="CR399" s="26"/>
      <c r="CS399" s="26"/>
      <c r="CT399" s="26"/>
      <c r="CU399" s="26"/>
      <c r="CV399" s="26"/>
      <c r="CW399" s="26"/>
      <c r="CX399" s="26"/>
      <c r="CY399" s="26"/>
      <c r="CZ399" s="26"/>
      <c r="DA399" s="26"/>
      <c r="DB399" s="26"/>
      <c r="DC399" s="26"/>
      <c r="DD399" s="26"/>
    </row>
    <row r="400" spans="59:108" x14ac:dyDescent="0.2">
      <c r="BG400" s="26"/>
      <c r="BH400" s="26"/>
      <c r="BI400" s="26"/>
      <c r="BJ400" s="26"/>
      <c r="BK400" s="26"/>
      <c r="BL400" s="26"/>
      <c r="BM400" s="26"/>
      <c r="BN400" s="26"/>
      <c r="BO400" s="26"/>
      <c r="BP400" s="26"/>
      <c r="BQ400" s="26"/>
      <c r="BR400" s="26"/>
      <c r="BS400" s="26"/>
      <c r="BT400" s="26"/>
      <c r="BU400" s="26"/>
      <c r="BV400" s="26"/>
      <c r="BW400" s="26"/>
      <c r="BX400" s="26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26"/>
      <c r="CP400" s="26"/>
      <c r="CQ400" s="26"/>
      <c r="CR400" s="26"/>
      <c r="CS400" s="26"/>
      <c r="CT400" s="26"/>
      <c r="CU400" s="26"/>
      <c r="CV400" s="26"/>
      <c r="CW400" s="26"/>
      <c r="CX400" s="26"/>
      <c r="CY400" s="26"/>
      <c r="CZ400" s="26"/>
      <c r="DA400" s="26"/>
      <c r="DB400" s="26"/>
      <c r="DC400" s="26"/>
      <c r="DD400" s="26"/>
    </row>
    <row r="401" spans="59:108" x14ac:dyDescent="0.2">
      <c r="BG401" s="26"/>
      <c r="BH401" s="26"/>
      <c r="BI401" s="26"/>
      <c r="BJ401" s="26"/>
      <c r="BK401" s="26"/>
      <c r="BL401" s="26"/>
      <c r="BM401" s="26"/>
      <c r="BN401" s="26"/>
      <c r="BO401" s="26"/>
      <c r="BP401" s="26"/>
      <c r="BQ401" s="26"/>
      <c r="BR401" s="26"/>
      <c r="BS401" s="26"/>
      <c r="BT401" s="26"/>
      <c r="BU401" s="26"/>
      <c r="BV401" s="26"/>
      <c r="BW401" s="26"/>
      <c r="BX401" s="26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26"/>
      <c r="CP401" s="26"/>
      <c r="CQ401" s="26"/>
      <c r="CR401" s="26"/>
      <c r="CS401" s="26"/>
      <c r="CT401" s="26"/>
      <c r="CU401" s="26"/>
      <c r="CV401" s="26"/>
      <c r="CW401" s="26"/>
      <c r="CX401" s="26"/>
      <c r="CY401" s="26"/>
      <c r="CZ401" s="26"/>
      <c r="DA401" s="26"/>
      <c r="DB401" s="26"/>
      <c r="DC401" s="26"/>
      <c r="DD401" s="26"/>
    </row>
    <row r="402" spans="59:108" x14ac:dyDescent="0.2">
      <c r="BG402" s="26"/>
      <c r="BH402" s="26"/>
      <c r="BI402" s="26"/>
      <c r="BJ402" s="26"/>
      <c r="BK402" s="26"/>
      <c r="BL402" s="26"/>
      <c r="BM402" s="26"/>
      <c r="BN402" s="26"/>
      <c r="BO402" s="26"/>
      <c r="BP402" s="26"/>
      <c r="BQ402" s="26"/>
      <c r="BR402" s="26"/>
      <c r="BS402" s="26"/>
      <c r="BT402" s="26"/>
      <c r="BU402" s="26"/>
      <c r="BV402" s="26"/>
      <c r="BW402" s="26"/>
      <c r="BX402" s="26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26"/>
      <c r="CP402" s="26"/>
      <c r="CQ402" s="26"/>
      <c r="CR402" s="26"/>
      <c r="CS402" s="26"/>
      <c r="CT402" s="26"/>
      <c r="CU402" s="26"/>
      <c r="CV402" s="26"/>
      <c r="CW402" s="26"/>
      <c r="CX402" s="26"/>
      <c r="CY402" s="26"/>
      <c r="CZ402" s="26"/>
      <c r="DA402" s="26"/>
      <c r="DB402" s="26"/>
      <c r="DC402" s="26"/>
      <c r="DD402" s="26"/>
    </row>
    <row r="403" spans="59:108" x14ac:dyDescent="0.2">
      <c r="BG403" s="26"/>
      <c r="BH403" s="26"/>
      <c r="BI403" s="26"/>
      <c r="BJ403" s="26"/>
      <c r="BK403" s="26"/>
      <c r="BL403" s="26"/>
      <c r="BM403" s="26"/>
      <c r="BN403" s="26"/>
      <c r="BO403" s="26"/>
      <c r="BP403" s="26"/>
      <c r="BQ403" s="26"/>
      <c r="BR403" s="26"/>
      <c r="BS403" s="26"/>
      <c r="BT403" s="26"/>
      <c r="BU403" s="26"/>
      <c r="BV403" s="26"/>
      <c r="BW403" s="26"/>
      <c r="BX403" s="26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26"/>
      <c r="CP403" s="26"/>
      <c r="CQ403" s="26"/>
      <c r="CR403" s="26"/>
      <c r="CS403" s="26"/>
      <c r="CT403" s="26"/>
      <c r="CU403" s="26"/>
      <c r="CV403" s="26"/>
      <c r="CW403" s="26"/>
      <c r="CX403" s="26"/>
      <c r="CY403" s="26"/>
      <c r="CZ403" s="26"/>
      <c r="DA403" s="26"/>
      <c r="DB403" s="26"/>
      <c r="DC403" s="26"/>
      <c r="DD403" s="26"/>
    </row>
    <row r="404" spans="59:108" x14ac:dyDescent="0.2">
      <c r="BG404" s="26"/>
      <c r="BH404" s="26"/>
      <c r="BI404" s="26"/>
      <c r="BJ404" s="26"/>
      <c r="BK404" s="26"/>
      <c r="BL404" s="26"/>
      <c r="BM404" s="26"/>
      <c r="BN404" s="26"/>
      <c r="BO404" s="26"/>
      <c r="BP404" s="26"/>
      <c r="BQ404" s="26"/>
      <c r="BR404" s="26"/>
      <c r="BS404" s="26"/>
      <c r="BT404" s="26"/>
      <c r="BU404" s="26"/>
      <c r="BV404" s="26"/>
      <c r="BW404" s="26"/>
      <c r="BX404" s="26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26"/>
      <c r="CP404" s="26"/>
      <c r="CQ404" s="26"/>
      <c r="CR404" s="26"/>
      <c r="CS404" s="26"/>
      <c r="CT404" s="26"/>
      <c r="CU404" s="26"/>
      <c r="CV404" s="26"/>
      <c r="CW404" s="26"/>
      <c r="CX404" s="26"/>
      <c r="CY404" s="26"/>
      <c r="CZ404" s="26"/>
      <c r="DA404" s="26"/>
      <c r="DB404" s="26"/>
      <c r="DC404" s="26"/>
      <c r="DD404" s="26"/>
    </row>
    <row r="405" spans="59:108" x14ac:dyDescent="0.2">
      <c r="BG405" s="26"/>
      <c r="BH405" s="26"/>
      <c r="BI405" s="26"/>
      <c r="BJ405" s="26"/>
      <c r="BK405" s="26"/>
      <c r="BL405" s="26"/>
      <c r="BM405" s="26"/>
      <c r="BN405" s="26"/>
      <c r="BO405" s="26"/>
      <c r="BP405" s="26"/>
      <c r="BQ405" s="26"/>
      <c r="BR405" s="26"/>
      <c r="BS405" s="26"/>
      <c r="BT405" s="26"/>
      <c r="BU405" s="26"/>
      <c r="BV405" s="26"/>
      <c r="BW405" s="26"/>
      <c r="BX405" s="26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26"/>
      <c r="CP405" s="26"/>
      <c r="CQ405" s="26"/>
      <c r="CR405" s="26"/>
      <c r="CS405" s="26"/>
      <c r="CT405" s="26"/>
      <c r="CU405" s="26"/>
      <c r="CV405" s="26"/>
      <c r="CW405" s="26"/>
      <c r="CX405" s="26"/>
      <c r="CY405" s="26"/>
      <c r="CZ405" s="26"/>
      <c r="DA405" s="26"/>
      <c r="DB405" s="26"/>
      <c r="DC405" s="26"/>
      <c r="DD405" s="26"/>
    </row>
    <row r="406" spans="59:108" x14ac:dyDescent="0.2">
      <c r="BG406" s="26"/>
      <c r="BH406" s="26"/>
      <c r="BI406" s="26"/>
      <c r="BJ406" s="26"/>
      <c r="BK406" s="26"/>
      <c r="BL406" s="26"/>
      <c r="BM406" s="26"/>
      <c r="BN406" s="26"/>
      <c r="BO406" s="26"/>
      <c r="BP406" s="26"/>
      <c r="BQ406" s="26"/>
      <c r="BR406" s="26"/>
      <c r="BS406" s="26"/>
      <c r="BT406" s="26"/>
      <c r="BU406" s="26"/>
      <c r="BV406" s="26"/>
      <c r="BW406" s="26"/>
      <c r="BX406" s="26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26"/>
      <c r="CP406" s="26"/>
      <c r="CQ406" s="26"/>
      <c r="CR406" s="26"/>
      <c r="CS406" s="26"/>
      <c r="CT406" s="26"/>
      <c r="CU406" s="26"/>
      <c r="CV406" s="26"/>
      <c r="CW406" s="26"/>
      <c r="CX406" s="26"/>
      <c r="CY406" s="26"/>
      <c r="CZ406" s="26"/>
      <c r="DA406" s="26"/>
      <c r="DB406" s="26"/>
      <c r="DC406" s="26"/>
      <c r="DD406" s="26"/>
    </row>
    <row r="407" spans="59:108" x14ac:dyDescent="0.2">
      <c r="BG407" s="26"/>
      <c r="BH407" s="26"/>
      <c r="BI407" s="26"/>
      <c r="BJ407" s="26"/>
      <c r="BK407" s="26"/>
      <c r="BL407" s="26"/>
      <c r="BM407" s="26"/>
      <c r="BN407" s="26"/>
      <c r="BO407" s="26"/>
      <c r="BP407" s="26"/>
      <c r="BQ407" s="26"/>
      <c r="BR407" s="26"/>
      <c r="BS407" s="26"/>
      <c r="BT407" s="26"/>
      <c r="BU407" s="26"/>
      <c r="BV407" s="26"/>
      <c r="BW407" s="26"/>
      <c r="BX407" s="26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26"/>
      <c r="CP407" s="26"/>
      <c r="CQ407" s="26"/>
      <c r="CR407" s="26"/>
      <c r="CS407" s="26"/>
      <c r="CT407" s="26"/>
      <c r="CU407" s="26"/>
      <c r="CV407" s="26"/>
      <c r="CW407" s="26"/>
      <c r="CX407" s="26"/>
      <c r="CY407" s="26"/>
      <c r="CZ407" s="26"/>
      <c r="DA407" s="26"/>
      <c r="DB407" s="26"/>
      <c r="DC407" s="26"/>
      <c r="DD407" s="26"/>
    </row>
    <row r="408" spans="59:108" x14ac:dyDescent="0.2">
      <c r="BG408" s="26"/>
      <c r="BH408" s="26"/>
      <c r="BI408" s="26"/>
      <c r="BJ408" s="26"/>
      <c r="BK408" s="26"/>
      <c r="BL408" s="26"/>
      <c r="BM408" s="26"/>
      <c r="BN408" s="26"/>
      <c r="BO408" s="26"/>
      <c r="BP408" s="26"/>
      <c r="BQ408" s="26"/>
      <c r="BR408" s="26"/>
      <c r="BS408" s="26"/>
      <c r="BT408" s="26"/>
      <c r="BU408" s="26"/>
      <c r="BV408" s="26"/>
      <c r="BW408" s="26"/>
      <c r="BX408" s="26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26"/>
      <c r="CP408" s="26"/>
      <c r="CQ408" s="26"/>
      <c r="CR408" s="26"/>
      <c r="CS408" s="26"/>
      <c r="CT408" s="26"/>
      <c r="CU408" s="26"/>
      <c r="CV408" s="26"/>
      <c r="CW408" s="26"/>
      <c r="CX408" s="26"/>
      <c r="CY408" s="26"/>
      <c r="CZ408" s="26"/>
      <c r="DA408" s="26"/>
      <c r="DB408" s="26"/>
      <c r="DC408" s="26"/>
      <c r="DD408" s="26"/>
    </row>
    <row r="409" spans="59:108" x14ac:dyDescent="0.2">
      <c r="BG409" s="26"/>
      <c r="BH409" s="26"/>
      <c r="BI409" s="26"/>
      <c r="BJ409" s="26"/>
      <c r="BK409" s="26"/>
      <c r="BL409" s="26"/>
      <c r="BM409" s="26"/>
      <c r="BN409" s="26"/>
      <c r="BO409" s="26"/>
      <c r="BP409" s="26"/>
      <c r="BQ409" s="26"/>
      <c r="BR409" s="26"/>
      <c r="BS409" s="26"/>
      <c r="BT409" s="26"/>
      <c r="BU409" s="26"/>
      <c r="BV409" s="26"/>
      <c r="BW409" s="26"/>
      <c r="BX409" s="26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26"/>
      <c r="CP409" s="26"/>
      <c r="CQ409" s="26"/>
      <c r="CR409" s="26"/>
      <c r="CS409" s="26"/>
      <c r="CT409" s="26"/>
      <c r="CU409" s="26"/>
      <c r="CV409" s="26"/>
      <c r="CW409" s="26"/>
      <c r="CX409" s="26"/>
      <c r="CY409" s="26"/>
      <c r="CZ409" s="26"/>
      <c r="DA409" s="26"/>
      <c r="DB409" s="26"/>
      <c r="DC409" s="26"/>
      <c r="DD409" s="26"/>
    </row>
    <row r="410" spans="59:108" x14ac:dyDescent="0.2">
      <c r="BG410" s="26"/>
      <c r="BH410" s="26"/>
      <c r="BI410" s="26"/>
      <c r="BJ410" s="26"/>
      <c r="BK410" s="26"/>
      <c r="BL410" s="26"/>
      <c r="BM410" s="26"/>
      <c r="BN410" s="26"/>
      <c r="BO410" s="26"/>
      <c r="BP410" s="26"/>
      <c r="BQ410" s="26"/>
      <c r="BR410" s="26"/>
      <c r="BS410" s="26"/>
      <c r="BT410" s="26"/>
      <c r="BU410" s="26"/>
      <c r="BV410" s="26"/>
      <c r="BW410" s="26"/>
      <c r="BX410" s="26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K410" s="26"/>
      <c r="CL410" s="26"/>
      <c r="CM410" s="26"/>
      <c r="CN410" s="26"/>
      <c r="CO410" s="26"/>
      <c r="CP410" s="26"/>
      <c r="CQ410" s="26"/>
      <c r="CR410" s="26"/>
      <c r="CS410" s="26"/>
      <c r="CT410" s="26"/>
      <c r="CU410" s="26"/>
      <c r="CV410" s="26"/>
      <c r="CW410" s="26"/>
      <c r="CX410" s="26"/>
      <c r="CY410" s="26"/>
      <c r="CZ410" s="26"/>
      <c r="DA410" s="26"/>
      <c r="DB410" s="26"/>
      <c r="DC410" s="26"/>
      <c r="DD410" s="26"/>
    </row>
    <row r="411" spans="59:108" x14ac:dyDescent="0.2">
      <c r="BG411" s="26"/>
      <c r="BH411" s="26"/>
      <c r="BI411" s="26"/>
      <c r="BJ411" s="26"/>
      <c r="BK411" s="26"/>
      <c r="BL411" s="26"/>
      <c r="BM411" s="26"/>
      <c r="BN411" s="26"/>
      <c r="BO411" s="26"/>
      <c r="BP411" s="26"/>
      <c r="BQ411" s="26"/>
      <c r="BR411" s="26"/>
      <c r="BS411" s="26"/>
      <c r="BT411" s="26"/>
      <c r="BU411" s="26"/>
      <c r="BV411" s="26"/>
      <c r="BW411" s="26"/>
      <c r="BX411" s="26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K411" s="26"/>
      <c r="CL411" s="26"/>
      <c r="CM411" s="26"/>
      <c r="CN411" s="26"/>
      <c r="CO411" s="26"/>
      <c r="CP411" s="26"/>
      <c r="CQ411" s="26"/>
      <c r="CR411" s="26"/>
      <c r="CS411" s="26"/>
      <c r="CT411" s="26"/>
      <c r="CU411" s="26"/>
      <c r="CV411" s="26"/>
      <c r="CW411" s="26"/>
      <c r="CX411" s="26"/>
      <c r="CY411" s="26"/>
      <c r="CZ411" s="26"/>
      <c r="DA411" s="26"/>
      <c r="DB411" s="26"/>
      <c r="DC411" s="26"/>
      <c r="DD411" s="26"/>
    </row>
    <row r="412" spans="59:108" x14ac:dyDescent="0.2">
      <c r="BG412" s="26"/>
      <c r="BH412" s="26"/>
      <c r="BI412" s="26"/>
      <c r="BJ412" s="26"/>
      <c r="BK412" s="26"/>
      <c r="BL412" s="26"/>
      <c r="BM412" s="26"/>
      <c r="BN412" s="26"/>
      <c r="BO412" s="26"/>
      <c r="BP412" s="26"/>
      <c r="BQ412" s="26"/>
      <c r="BR412" s="26"/>
      <c r="BS412" s="26"/>
      <c r="BT412" s="26"/>
      <c r="BU412" s="26"/>
      <c r="BV412" s="26"/>
      <c r="BW412" s="26"/>
      <c r="BX412" s="26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K412" s="26"/>
      <c r="CL412" s="26"/>
      <c r="CM412" s="26"/>
      <c r="CN412" s="26"/>
      <c r="CO412" s="26"/>
      <c r="CP412" s="26"/>
      <c r="CQ412" s="26"/>
      <c r="CR412" s="26"/>
      <c r="CS412" s="26"/>
      <c r="CT412" s="26"/>
      <c r="CU412" s="26"/>
      <c r="CV412" s="26"/>
      <c r="CW412" s="26"/>
      <c r="CX412" s="26"/>
      <c r="CY412" s="26"/>
      <c r="CZ412" s="26"/>
      <c r="DA412" s="26"/>
      <c r="DB412" s="26"/>
      <c r="DC412" s="26"/>
      <c r="DD412" s="26"/>
    </row>
    <row r="413" spans="59:108" x14ac:dyDescent="0.2">
      <c r="BG413" s="26"/>
      <c r="BH413" s="26"/>
      <c r="BI413" s="26"/>
      <c r="BJ413" s="26"/>
      <c r="BK413" s="26"/>
      <c r="BL413" s="26"/>
      <c r="BM413" s="26"/>
      <c r="BN413" s="26"/>
      <c r="BO413" s="26"/>
      <c r="BP413" s="26"/>
      <c r="BQ413" s="26"/>
      <c r="BR413" s="26"/>
      <c r="BS413" s="26"/>
      <c r="BT413" s="26"/>
      <c r="BU413" s="26"/>
      <c r="BV413" s="26"/>
      <c r="BW413" s="26"/>
      <c r="BX413" s="26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K413" s="26"/>
      <c r="CL413" s="26"/>
      <c r="CM413" s="26"/>
      <c r="CN413" s="26"/>
      <c r="CO413" s="26"/>
      <c r="CP413" s="26"/>
      <c r="CQ413" s="26"/>
      <c r="CR413" s="26"/>
      <c r="CS413" s="26"/>
      <c r="CT413" s="26"/>
      <c r="CU413" s="26"/>
      <c r="CV413" s="26"/>
      <c r="CW413" s="26"/>
      <c r="CX413" s="26"/>
      <c r="CY413" s="26"/>
      <c r="CZ413" s="26"/>
      <c r="DA413" s="26"/>
      <c r="DB413" s="26"/>
      <c r="DC413" s="26"/>
      <c r="DD413" s="26"/>
    </row>
    <row r="414" spans="59:108" x14ac:dyDescent="0.2">
      <c r="BG414" s="26"/>
      <c r="BH414" s="26"/>
      <c r="BI414" s="26"/>
      <c r="BJ414" s="26"/>
      <c r="BK414" s="26"/>
      <c r="BL414" s="26"/>
      <c r="BM414" s="26"/>
      <c r="BN414" s="26"/>
      <c r="BO414" s="26"/>
      <c r="BP414" s="26"/>
      <c r="BQ414" s="26"/>
      <c r="BR414" s="26"/>
      <c r="BS414" s="26"/>
      <c r="BT414" s="26"/>
      <c r="BU414" s="26"/>
      <c r="BV414" s="26"/>
      <c r="BW414" s="26"/>
      <c r="BX414" s="26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K414" s="26"/>
      <c r="CL414" s="26"/>
      <c r="CM414" s="26"/>
      <c r="CN414" s="26"/>
      <c r="CO414" s="26"/>
      <c r="CP414" s="26"/>
      <c r="CQ414" s="26"/>
      <c r="CR414" s="26"/>
      <c r="CS414" s="26"/>
      <c r="CT414" s="26"/>
      <c r="CU414" s="26"/>
      <c r="CV414" s="26"/>
      <c r="CW414" s="26"/>
      <c r="CX414" s="26"/>
      <c r="CY414" s="26"/>
      <c r="CZ414" s="26"/>
      <c r="DA414" s="26"/>
      <c r="DB414" s="26"/>
      <c r="DC414" s="26"/>
      <c r="DD414" s="26"/>
    </row>
    <row r="415" spans="59:108" x14ac:dyDescent="0.2">
      <c r="BG415" s="26"/>
      <c r="BH415" s="26"/>
      <c r="BI415" s="26"/>
      <c r="BJ415" s="26"/>
      <c r="BK415" s="26"/>
      <c r="BL415" s="26"/>
      <c r="BM415" s="26"/>
      <c r="BN415" s="26"/>
      <c r="BO415" s="26"/>
      <c r="BP415" s="26"/>
      <c r="BQ415" s="26"/>
      <c r="BR415" s="26"/>
      <c r="BS415" s="26"/>
      <c r="BT415" s="26"/>
      <c r="BU415" s="26"/>
      <c r="BV415" s="26"/>
      <c r="BW415" s="26"/>
      <c r="BX415" s="26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K415" s="26"/>
      <c r="CL415" s="26"/>
      <c r="CM415" s="26"/>
      <c r="CN415" s="26"/>
      <c r="CO415" s="26"/>
      <c r="CP415" s="26"/>
      <c r="CQ415" s="26"/>
      <c r="CR415" s="26"/>
      <c r="CS415" s="26"/>
      <c r="CT415" s="26"/>
      <c r="CU415" s="26"/>
      <c r="CV415" s="26"/>
      <c r="CW415" s="26"/>
      <c r="CX415" s="26"/>
      <c r="CY415" s="26"/>
      <c r="CZ415" s="26"/>
      <c r="DA415" s="26"/>
      <c r="DB415" s="26"/>
      <c r="DC415" s="26"/>
      <c r="DD415" s="26"/>
    </row>
    <row r="416" spans="59:108" x14ac:dyDescent="0.2">
      <c r="BG416" s="26"/>
      <c r="BH416" s="26"/>
      <c r="BI416" s="26"/>
      <c r="BJ416" s="26"/>
      <c r="BK416" s="26"/>
      <c r="BL416" s="26"/>
      <c r="BM416" s="26"/>
      <c r="BN416" s="26"/>
      <c r="BO416" s="26"/>
      <c r="BP416" s="26"/>
      <c r="BQ416" s="26"/>
      <c r="BR416" s="26"/>
      <c r="BS416" s="26"/>
      <c r="BT416" s="26"/>
      <c r="BU416" s="26"/>
      <c r="BV416" s="26"/>
      <c r="BW416" s="26"/>
      <c r="BX416" s="26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K416" s="26"/>
      <c r="CL416" s="26"/>
      <c r="CM416" s="26"/>
      <c r="CN416" s="26"/>
      <c r="CO416" s="26"/>
      <c r="CP416" s="26"/>
      <c r="CQ416" s="26"/>
      <c r="CR416" s="26"/>
      <c r="CS416" s="26"/>
      <c r="CT416" s="26"/>
      <c r="CU416" s="26"/>
      <c r="CV416" s="26"/>
      <c r="CW416" s="26"/>
      <c r="CX416" s="26"/>
      <c r="CY416" s="26"/>
      <c r="CZ416" s="26"/>
      <c r="DA416" s="26"/>
      <c r="DB416" s="26"/>
      <c r="DC416" s="26"/>
      <c r="DD416" s="26"/>
    </row>
    <row r="417" spans="59:108" x14ac:dyDescent="0.2">
      <c r="BG417" s="26"/>
      <c r="BH417" s="26"/>
      <c r="BI417" s="26"/>
      <c r="BJ417" s="26"/>
      <c r="BK417" s="26"/>
      <c r="BL417" s="26"/>
      <c r="BM417" s="26"/>
      <c r="BN417" s="26"/>
      <c r="BO417" s="26"/>
      <c r="BP417" s="26"/>
      <c r="BQ417" s="26"/>
      <c r="BR417" s="26"/>
      <c r="BS417" s="26"/>
      <c r="BT417" s="26"/>
      <c r="BU417" s="26"/>
      <c r="BV417" s="26"/>
      <c r="BW417" s="26"/>
      <c r="BX417" s="26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K417" s="26"/>
      <c r="CL417" s="26"/>
      <c r="CM417" s="26"/>
      <c r="CN417" s="26"/>
      <c r="CO417" s="26"/>
      <c r="CP417" s="26"/>
      <c r="CQ417" s="26"/>
      <c r="CR417" s="26"/>
      <c r="CS417" s="26"/>
      <c r="CT417" s="26"/>
      <c r="CU417" s="26"/>
      <c r="CV417" s="26"/>
      <c r="CW417" s="26"/>
      <c r="CX417" s="26"/>
      <c r="CY417" s="26"/>
      <c r="CZ417" s="26"/>
      <c r="DA417" s="26"/>
      <c r="DB417" s="26"/>
      <c r="DC417" s="26"/>
      <c r="DD417" s="26"/>
    </row>
    <row r="418" spans="59:108" x14ac:dyDescent="0.2">
      <c r="BG418" s="26"/>
      <c r="BH418" s="26"/>
      <c r="BI418" s="26"/>
      <c r="BJ418" s="26"/>
      <c r="BK418" s="26"/>
      <c r="BL418" s="26"/>
      <c r="BM418" s="26"/>
      <c r="BN418" s="26"/>
      <c r="BO418" s="26"/>
      <c r="BP418" s="26"/>
      <c r="BQ418" s="26"/>
      <c r="BR418" s="26"/>
      <c r="BS418" s="26"/>
      <c r="BT418" s="26"/>
      <c r="BU418" s="26"/>
      <c r="BV418" s="26"/>
      <c r="BW418" s="26"/>
      <c r="BX418" s="26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K418" s="26"/>
      <c r="CL418" s="26"/>
      <c r="CM418" s="26"/>
      <c r="CN418" s="26"/>
      <c r="CO418" s="26"/>
      <c r="CP418" s="26"/>
      <c r="CQ418" s="26"/>
      <c r="CR418" s="26"/>
      <c r="CS418" s="26"/>
      <c r="CT418" s="26"/>
      <c r="CU418" s="26"/>
      <c r="CV418" s="26"/>
      <c r="CW418" s="26"/>
      <c r="CX418" s="26"/>
      <c r="CY418" s="26"/>
      <c r="CZ418" s="26"/>
      <c r="DA418" s="26"/>
      <c r="DB418" s="26"/>
      <c r="DC418" s="26"/>
      <c r="DD418" s="26"/>
    </row>
    <row r="419" spans="59:108" x14ac:dyDescent="0.2">
      <c r="BG419" s="26"/>
      <c r="BH419" s="26"/>
      <c r="BI419" s="26"/>
      <c r="BJ419" s="26"/>
      <c r="BK419" s="26"/>
      <c r="BL419" s="26"/>
      <c r="BM419" s="26"/>
      <c r="BN419" s="26"/>
      <c r="BO419" s="26"/>
      <c r="BP419" s="26"/>
      <c r="BQ419" s="26"/>
      <c r="BR419" s="26"/>
      <c r="BS419" s="26"/>
      <c r="BT419" s="26"/>
      <c r="BU419" s="26"/>
      <c r="BV419" s="26"/>
      <c r="BW419" s="26"/>
      <c r="BX419" s="26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K419" s="26"/>
      <c r="CL419" s="26"/>
      <c r="CM419" s="26"/>
      <c r="CN419" s="26"/>
      <c r="CO419" s="26"/>
      <c r="CP419" s="26"/>
      <c r="CQ419" s="26"/>
      <c r="CR419" s="26"/>
      <c r="CS419" s="26"/>
      <c r="CT419" s="26"/>
      <c r="CU419" s="26"/>
      <c r="CV419" s="26"/>
      <c r="CW419" s="26"/>
      <c r="CX419" s="26"/>
      <c r="CY419" s="26"/>
      <c r="CZ419" s="26"/>
      <c r="DA419" s="26"/>
      <c r="DB419" s="26"/>
      <c r="DC419" s="26"/>
      <c r="DD419" s="26"/>
    </row>
    <row r="420" spans="59:108" x14ac:dyDescent="0.2">
      <c r="BG420" s="26"/>
      <c r="BH420" s="26"/>
      <c r="BI420" s="26"/>
      <c r="BJ420" s="26"/>
      <c r="BK420" s="26"/>
      <c r="BL420" s="26"/>
      <c r="BM420" s="26"/>
      <c r="BN420" s="26"/>
      <c r="BO420" s="26"/>
      <c r="BP420" s="26"/>
      <c r="BQ420" s="26"/>
      <c r="BR420" s="26"/>
      <c r="BS420" s="26"/>
      <c r="BT420" s="26"/>
      <c r="BU420" s="26"/>
      <c r="BV420" s="26"/>
      <c r="BW420" s="26"/>
      <c r="BX420" s="26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K420" s="26"/>
      <c r="CL420" s="26"/>
      <c r="CM420" s="26"/>
      <c r="CN420" s="26"/>
      <c r="CO420" s="26"/>
      <c r="CP420" s="26"/>
      <c r="CQ420" s="26"/>
      <c r="CR420" s="26"/>
      <c r="CS420" s="26"/>
      <c r="CT420" s="26"/>
      <c r="CU420" s="26"/>
      <c r="CV420" s="26"/>
      <c r="CW420" s="26"/>
      <c r="CX420" s="26"/>
      <c r="CY420" s="26"/>
      <c r="CZ420" s="26"/>
      <c r="DA420" s="26"/>
      <c r="DB420" s="26"/>
      <c r="DC420" s="26"/>
      <c r="DD420" s="26"/>
    </row>
    <row r="421" spans="59:108" x14ac:dyDescent="0.2">
      <c r="BG421" s="26"/>
      <c r="BH421" s="26"/>
      <c r="BI421" s="26"/>
      <c r="BJ421" s="26"/>
      <c r="BK421" s="26"/>
      <c r="BL421" s="26"/>
      <c r="BM421" s="26"/>
      <c r="BN421" s="26"/>
      <c r="BO421" s="26"/>
      <c r="BP421" s="26"/>
      <c r="BQ421" s="26"/>
      <c r="BR421" s="26"/>
      <c r="BS421" s="26"/>
      <c r="BT421" s="26"/>
      <c r="BU421" s="26"/>
      <c r="BV421" s="26"/>
      <c r="BW421" s="26"/>
      <c r="BX421" s="26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K421" s="26"/>
      <c r="CL421" s="26"/>
      <c r="CM421" s="26"/>
      <c r="CN421" s="26"/>
      <c r="CO421" s="26"/>
      <c r="CP421" s="26"/>
      <c r="CQ421" s="26"/>
      <c r="CR421" s="26"/>
      <c r="CS421" s="26"/>
      <c r="CT421" s="26"/>
      <c r="CU421" s="26"/>
      <c r="CV421" s="26"/>
      <c r="CW421" s="26"/>
      <c r="CX421" s="26"/>
      <c r="CY421" s="26"/>
      <c r="CZ421" s="26"/>
      <c r="DA421" s="26"/>
      <c r="DB421" s="26"/>
      <c r="DC421" s="26"/>
      <c r="DD421" s="26"/>
    </row>
    <row r="422" spans="59:108" x14ac:dyDescent="0.2">
      <c r="BG422" s="26"/>
      <c r="BH422" s="26"/>
      <c r="BI422" s="26"/>
      <c r="BJ422" s="26"/>
      <c r="BK422" s="26"/>
      <c r="BL422" s="26"/>
      <c r="BM422" s="26"/>
      <c r="BN422" s="26"/>
      <c r="BO422" s="26"/>
      <c r="BP422" s="26"/>
      <c r="BQ422" s="26"/>
      <c r="BR422" s="26"/>
      <c r="BS422" s="26"/>
      <c r="BT422" s="26"/>
      <c r="BU422" s="26"/>
      <c r="BV422" s="26"/>
      <c r="BW422" s="26"/>
      <c r="BX422" s="26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K422" s="26"/>
      <c r="CL422" s="26"/>
      <c r="CM422" s="26"/>
      <c r="CN422" s="26"/>
      <c r="CO422" s="26"/>
      <c r="CP422" s="26"/>
      <c r="CQ422" s="26"/>
      <c r="CR422" s="26"/>
      <c r="CS422" s="26"/>
      <c r="CT422" s="26"/>
      <c r="CU422" s="26"/>
      <c r="CV422" s="26"/>
      <c r="CW422" s="26"/>
      <c r="CX422" s="26"/>
      <c r="CY422" s="26"/>
      <c r="CZ422" s="26"/>
      <c r="DA422" s="26"/>
      <c r="DB422" s="26"/>
      <c r="DC422" s="26"/>
      <c r="DD422" s="26"/>
    </row>
    <row r="423" spans="59:108" x14ac:dyDescent="0.2">
      <c r="BG423" s="26"/>
      <c r="BH423" s="26"/>
      <c r="BI423" s="26"/>
      <c r="BJ423" s="26"/>
      <c r="BK423" s="26"/>
      <c r="BL423" s="26"/>
      <c r="BM423" s="26"/>
      <c r="BN423" s="26"/>
      <c r="BO423" s="26"/>
      <c r="BP423" s="26"/>
      <c r="BQ423" s="26"/>
      <c r="BR423" s="26"/>
      <c r="BS423" s="26"/>
      <c r="BT423" s="26"/>
      <c r="BU423" s="26"/>
      <c r="BV423" s="26"/>
      <c r="BW423" s="26"/>
      <c r="BX423" s="26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K423" s="26"/>
      <c r="CL423" s="26"/>
      <c r="CM423" s="26"/>
      <c r="CN423" s="26"/>
      <c r="CO423" s="26"/>
      <c r="CP423" s="26"/>
      <c r="CQ423" s="26"/>
      <c r="CR423" s="26"/>
      <c r="CS423" s="26"/>
      <c r="CT423" s="26"/>
      <c r="CU423" s="26"/>
      <c r="CV423" s="26"/>
      <c r="CW423" s="26"/>
      <c r="CX423" s="26"/>
      <c r="CY423" s="26"/>
      <c r="CZ423" s="26"/>
      <c r="DA423" s="26"/>
      <c r="DB423" s="26"/>
      <c r="DC423" s="26"/>
      <c r="DD423" s="26"/>
    </row>
    <row r="424" spans="59:108" x14ac:dyDescent="0.2">
      <c r="BG424" s="26"/>
      <c r="BH424" s="26"/>
      <c r="BI424" s="26"/>
      <c r="BJ424" s="26"/>
      <c r="BK424" s="26"/>
      <c r="BL424" s="26"/>
      <c r="BM424" s="26"/>
      <c r="BN424" s="26"/>
      <c r="BO424" s="26"/>
      <c r="BP424" s="26"/>
      <c r="BQ424" s="26"/>
      <c r="BR424" s="26"/>
      <c r="BS424" s="26"/>
      <c r="BT424" s="26"/>
      <c r="BU424" s="26"/>
      <c r="BV424" s="26"/>
      <c r="BW424" s="26"/>
      <c r="BX424" s="26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K424" s="26"/>
      <c r="CL424" s="26"/>
      <c r="CM424" s="26"/>
      <c r="CN424" s="26"/>
      <c r="CO424" s="26"/>
      <c r="CP424" s="26"/>
      <c r="CQ424" s="26"/>
      <c r="CR424" s="26"/>
      <c r="CS424" s="26"/>
      <c r="CT424" s="26"/>
      <c r="CU424" s="26"/>
      <c r="CV424" s="26"/>
      <c r="CW424" s="26"/>
      <c r="CX424" s="26"/>
      <c r="CY424" s="26"/>
      <c r="CZ424" s="26"/>
      <c r="DA424" s="26"/>
      <c r="DB424" s="26"/>
      <c r="DC424" s="26"/>
      <c r="DD424" s="26"/>
    </row>
    <row r="425" spans="59:108" x14ac:dyDescent="0.2">
      <c r="BG425" s="26"/>
      <c r="BH425" s="26"/>
      <c r="BI425" s="26"/>
      <c r="BJ425" s="26"/>
      <c r="BK425" s="26"/>
      <c r="BL425" s="26"/>
      <c r="BM425" s="26"/>
      <c r="BN425" s="26"/>
      <c r="BO425" s="26"/>
      <c r="BP425" s="26"/>
      <c r="BQ425" s="26"/>
      <c r="BR425" s="26"/>
      <c r="BS425" s="26"/>
      <c r="BT425" s="26"/>
      <c r="BU425" s="26"/>
      <c r="BV425" s="26"/>
      <c r="BW425" s="26"/>
      <c r="BX425" s="26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K425" s="26"/>
      <c r="CL425" s="26"/>
      <c r="CM425" s="26"/>
      <c r="CN425" s="26"/>
      <c r="CO425" s="26"/>
      <c r="CP425" s="26"/>
      <c r="CQ425" s="26"/>
      <c r="CR425" s="26"/>
      <c r="CS425" s="26"/>
      <c r="CT425" s="26"/>
      <c r="CU425" s="26"/>
      <c r="CV425" s="26"/>
      <c r="CW425" s="26"/>
      <c r="CX425" s="26"/>
      <c r="CY425" s="26"/>
      <c r="CZ425" s="26"/>
      <c r="DA425" s="26"/>
      <c r="DB425" s="26"/>
      <c r="DC425" s="26"/>
      <c r="DD425" s="26"/>
    </row>
    <row r="426" spans="59:108" x14ac:dyDescent="0.2">
      <c r="BG426" s="26"/>
      <c r="BH426" s="26"/>
      <c r="BI426" s="26"/>
      <c r="BJ426" s="26"/>
      <c r="BK426" s="26"/>
      <c r="BL426" s="26"/>
      <c r="BM426" s="26"/>
      <c r="BN426" s="26"/>
      <c r="BO426" s="26"/>
      <c r="BP426" s="26"/>
      <c r="BQ426" s="26"/>
      <c r="BR426" s="26"/>
      <c r="BS426" s="26"/>
      <c r="BT426" s="26"/>
      <c r="BU426" s="26"/>
      <c r="BV426" s="26"/>
      <c r="BW426" s="26"/>
      <c r="BX426" s="26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K426" s="26"/>
      <c r="CL426" s="26"/>
      <c r="CM426" s="26"/>
      <c r="CN426" s="26"/>
      <c r="CO426" s="26"/>
      <c r="CP426" s="26"/>
      <c r="CQ426" s="26"/>
      <c r="CR426" s="26"/>
      <c r="CS426" s="26"/>
      <c r="CT426" s="26"/>
      <c r="CU426" s="26"/>
      <c r="CV426" s="26"/>
      <c r="CW426" s="26"/>
      <c r="CX426" s="26"/>
      <c r="CY426" s="26"/>
      <c r="CZ426" s="26"/>
      <c r="DA426" s="26"/>
      <c r="DB426" s="26"/>
      <c r="DC426" s="26"/>
      <c r="DD426" s="26"/>
    </row>
    <row r="427" spans="59:108" x14ac:dyDescent="0.2">
      <c r="BG427" s="26"/>
      <c r="BH427" s="26"/>
      <c r="BI427" s="26"/>
      <c r="BJ427" s="26"/>
      <c r="BK427" s="26"/>
      <c r="BL427" s="26"/>
      <c r="BM427" s="26"/>
      <c r="BN427" s="26"/>
      <c r="BO427" s="26"/>
      <c r="BP427" s="26"/>
      <c r="BQ427" s="26"/>
      <c r="BR427" s="26"/>
      <c r="BS427" s="26"/>
      <c r="BT427" s="26"/>
      <c r="BU427" s="26"/>
      <c r="BV427" s="26"/>
      <c r="BW427" s="26"/>
      <c r="BX427" s="26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K427" s="26"/>
      <c r="CL427" s="26"/>
      <c r="CM427" s="26"/>
      <c r="CN427" s="26"/>
      <c r="CO427" s="26"/>
      <c r="CP427" s="26"/>
      <c r="CQ427" s="26"/>
      <c r="CR427" s="26"/>
      <c r="CS427" s="26"/>
      <c r="CT427" s="26"/>
      <c r="CU427" s="26"/>
      <c r="CV427" s="26"/>
      <c r="CW427" s="26"/>
      <c r="CX427" s="26"/>
      <c r="CY427" s="26"/>
      <c r="CZ427" s="26"/>
      <c r="DA427" s="26"/>
      <c r="DB427" s="26"/>
      <c r="DC427" s="26"/>
      <c r="DD427" s="26"/>
    </row>
    <row r="428" spans="59:108" x14ac:dyDescent="0.2">
      <c r="BG428" s="26"/>
      <c r="BH428" s="26"/>
      <c r="BI428" s="26"/>
      <c r="BJ428" s="26"/>
      <c r="BK428" s="26"/>
      <c r="BL428" s="26"/>
      <c r="BM428" s="26"/>
      <c r="BN428" s="26"/>
      <c r="BO428" s="26"/>
      <c r="BP428" s="26"/>
      <c r="BQ428" s="26"/>
      <c r="BR428" s="26"/>
      <c r="BS428" s="26"/>
      <c r="BT428" s="26"/>
      <c r="BU428" s="26"/>
      <c r="BV428" s="26"/>
      <c r="BW428" s="26"/>
      <c r="BX428" s="26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K428" s="26"/>
      <c r="CL428" s="26"/>
      <c r="CM428" s="26"/>
      <c r="CN428" s="26"/>
      <c r="CO428" s="26"/>
      <c r="CP428" s="26"/>
      <c r="CQ428" s="26"/>
      <c r="CR428" s="26"/>
      <c r="CS428" s="26"/>
      <c r="CT428" s="26"/>
      <c r="CU428" s="26"/>
      <c r="CV428" s="26"/>
      <c r="CW428" s="26"/>
      <c r="CX428" s="26"/>
      <c r="CY428" s="26"/>
      <c r="CZ428" s="26"/>
      <c r="DA428" s="26"/>
      <c r="DB428" s="26"/>
      <c r="DC428" s="26"/>
      <c r="DD428" s="26"/>
    </row>
    <row r="429" spans="59:108" x14ac:dyDescent="0.2">
      <c r="BG429" s="26"/>
      <c r="BH429" s="26"/>
      <c r="BI429" s="26"/>
      <c r="BJ429" s="26"/>
      <c r="BK429" s="26"/>
      <c r="BL429" s="26"/>
      <c r="BM429" s="26"/>
      <c r="BN429" s="26"/>
      <c r="BO429" s="26"/>
      <c r="BP429" s="26"/>
      <c r="BQ429" s="26"/>
      <c r="BR429" s="26"/>
      <c r="BS429" s="26"/>
      <c r="BT429" s="26"/>
      <c r="BU429" s="26"/>
      <c r="BV429" s="26"/>
      <c r="BW429" s="26"/>
      <c r="BX429" s="26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K429" s="26"/>
      <c r="CL429" s="26"/>
      <c r="CM429" s="26"/>
      <c r="CN429" s="26"/>
      <c r="CO429" s="26"/>
      <c r="CP429" s="26"/>
      <c r="CQ429" s="26"/>
      <c r="CR429" s="26"/>
      <c r="CS429" s="26"/>
      <c r="CT429" s="26"/>
      <c r="CU429" s="26"/>
      <c r="CV429" s="26"/>
      <c r="CW429" s="26"/>
      <c r="CX429" s="26"/>
      <c r="CY429" s="26"/>
      <c r="CZ429" s="26"/>
      <c r="DA429" s="26"/>
      <c r="DB429" s="26"/>
      <c r="DC429" s="26"/>
      <c r="DD429" s="26"/>
    </row>
    <row r="430" spans="59:108" x14ac:dyDescent="0.2">
      <c r="BG430" s="26"/>
      <c r="BH430" s="26"/>
      <c r="BI430" s="26"/>
      <c r="BJ430" s="26"/>
      <c r="BK430" s="26"/>
      <c r="BL430" s="26"/>
      <c r="BM430" s="26"/>
      <c r="BN430" s="26"/>
      <c r="BO430" s="26"/>
      <c r="BP430" s="26"/>
      <c r="BQ430" s="26"/>
      <c r="BR430" s="26"/>
      <c r="BS430" s="26"/>
      <c r="BT430" s="26"/>
      <c r="BU430" s="26"/>
      <c r="BV430" s="26"/>
      <c r="BW430" s="26"/>
      <c r="BX430" s="26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K430" s="26"/>
      <c r="CL430" s="26"/>
      <c r="CM430" s="26"/>
      <c r="CN430" s="26"/>
      <c r="CO430" s="26"/>
      <c r="CP430" s="26"/>
      <c r="CQ430" s="26"/>
      <c r="CR430" s="26"/>
      <c r="CS430" s="26"/>
      <c r="CT430" s="26"/>
      <c r="CU430" s="26"/>
      <c r="CV430" s="26"/>
      <c r="CW430" s="26"/>
      <c r="CX430" s="26"/>
      <c r="CY430" s="26"/>
      <c r="CZ430" s="26"/>
      <c r="DA430" s="26"/>
      <c r="DB430" s="26"/>
      <c r="DC430" s="26"/>
      <c r="DD430" s="26"/>
    </row>
    <row r="431" spans="59:108" x14ac:dyDescent="0.2">
      <c r="BG431" s="26"/>
      <c r="BH431" s="26"/>
      <c r="BI431" s="26"/>
      <c r="BJ431" s="26"/>
      <c r="BK431" s="26"/>
      <c r="BL431" s="26"/>
      <c r="BM431" s="26"/>
      <c r="BN431" s="26"/>
      <c r="BO431" s="26"/>
      <c r="BP431" s="26"/>
      <c r="BQ431" s="26"/>
      <c r="BR431" s="26"/>
      <c r="BS431" s="26"/>
      <c r="BT431" s="26"/>
      <c r="BU431" s="26"/>
      <c r="BV431" s="26"/>
      <c r="BW431" s="26"/>
      <c r="BX431" s="26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K431" s="26"/>
      <c r="CL431" s="26"/>
      <c r="CM431" s="26"/>
      <c r="CN431" s="26"/>
      <c r="CO431" s="26"/>
      <c r="CP431" s="26"/>
      <c r="CQ431" s="26"/>
      <c r="CR431" s="26"/>
      <c r="CS431" s="26"/>
      <c r="CT431" s="26"/>
      <c r="CU431" s="26"/>
      <c r="CV431" s="26"/>
      <c r="CW431" s="26"/>
      <c r="CX431" s="26"/>
      <c r="CY431" s="26"/>
      <c r="CZ431" s="26"/>
      <c r="DA431" s="26"/>
      <c r="DB431" s="26"/>
      <c r="DC431" s="26"/>
      <c r="DD431" s="26"/>
    </row>
    <row r="432" spans="59:108" x14ac:dyDescent="0.2">
      <c r="BG432" s="26"/>
      <c r="BH432" s="26"/>
      <c r="BI432" s="26"/>
      <c r="BJ432" s="26"/>
      <c r="BK432" s="26"/>
      <c r="BL432" s="26"/>
      <c r="BM432" s="26"/>
      <c r="BN432" s="26"/>
      <c r="BO432" s="26"/>
      <c r="BP432" s="26"/>
      <c r="BQ432" s="26"/>
      <c r="BR432" s="26"/>
      <c r="BS432" s="26"/>
      <c r="BT432" s="26"/>
      <c r="BU432" s="26"/>
      <c r="BV432" s="26"/>
      <c r="BW432" s="26"/>
      <c r="BX432" s="26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K432" s="26"/>
      <c r="CL432" s="26"/>
      <c r="CM432" s="26"/>
      <c r="CN432" s="26"/>
      <c r="CO432" s="26"/>
      <c r="CP432" s="26"/>
      <c r="CQ432" s="26"/>
      <c r="CR432" s="26"/>
      <c r="CS432" s="26"/>
      <c r="CT432" s="26"/>
      <c r="CU432" s="26"/>
      <c r="CV432" s="26"/>
      <c r="CW432" s="26"/>
      <c r="CX432" s="26"/>
      <c r="CY432" s="26"/>
      <c r="CZ432" s="26"/>
      <c r="DA432" s="26"/>
      <c r="DB432" s="26"/>
      <c r="DC432" s="26"/>
      <c r="DD432" s="26"/>
    </row>
    <row r="433" spans="59:108" x14ac:dyDescent="0.2">
      <c r="BG433" s="26"/>
      <c r="BH433" s="26"/>
      <c r="BI433" s="26"/>
      <c r="BJ433" s="26"/>
      <c r="BK433" s="26"/>
      <c r="BL433" s="26"/>
      <c r="BM433" s="26"/>
      <c r="BN433" s="26"/>
      <c r="BO433" s="26"/>
      <c r="BP433" s="26"/>
      <c r="BQ433" s="26"/>
      <c r="BR433" s="26"/>
      <c r="BS433" s="26"/>
      <c r="BT433" s="26"/>
      <c r="BU433" s="26"/>
      <c r="BV433" s="26"/>
      <c r="BW433" s="26"/>
      <c r="BX433" s="26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K433" s="26"/>
      <c r="CL433" s="26"/>
      <c r="CM433" s="26"/>
      <c r="CN433" s="26"/>
      <c r="CO433" s="26"/>
      <c r="CP433" s="26"/>
      <c r="CQ433" s="26"/>
      <c r="CR433" s="26"/>
      <c r="CS433" s="26"/>
      <c r="CT433" s="26"/>
      <c r="CU433" s="26"/>
      <c r="CV433" s="26"/>
      <c r="CW433" s="26"/>
      <c r="CX433" s="26"/>
      <c r="CY433" s="26"/>
      <c r="CZ433" s="26"/>
      <c r="DA433" s="26"/>
      <c r="DB433" s="26"/>
      <c r="DC433" s="26"/>
      <c r="DD433" s="26"/>
    </row>
    <row r="434" spans="59:108" x14ac:dyDescent="0.2">
      <c r="BG434" s="26"/>
      <c r="BH434" s="26"/>
      <c r="BI434" s="26"/>
      <c r="BJ434" s="26"/>
      <c r="BK434" s="26"/>
      <c r="BL434" s="26"/>
      <c r="BM434" s="26"/>
      <c r="BN434" s="26"/>
      <c r="BO434" s="26"/>
      <c r="BP434" s="26"/>
      <c r="BQ434" s="26"/>
      <c r="BR434" s="26"/>
      <c r="BS434" s="26"/>
      <c r="BT434" s="26"/>
      <c r="BU434" s="26"/>
      <c r="BV434" s="26"/>
      <c r="BW434" s="26"/>
      <c r="BX434" s="26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K434" s="26"/>
      <c r="CL434" s="26"/>
      <c r="CM434" s="26"/>
      <c r="CN434" s="26"/>
      <c r="CO434" s="26"/>
      <c r="CP434" s="26"/>
      <c r="CQ434" s="26"/>
      <c r="CR434" s="26"/>
      <c r="CS434" s="26"/>
      <c r="CT434" s="26"/>
      <c r="CU434" s="26"/>
      <c r="CV434" s="26"/>
      <c r="CW434" s="26"/>
      <c r="CX434" s="26"/>
      <c r="CY434" s="26"/>
      <c r="CZ434" s="26"/>
      <c r="DA434" s="26"/>
      <c r="DB434" s="26"/>
      <c r="DC434" s="26"/>
      <c r="DD434" s="26"/>
    </row>
    <row r="435" spans="59:108" x14ac:dyDescent="0.2">
      <c r="BG435" s="26"/>
      <c r="BH435" s="26"/>
      <c r="BI435" s="26"/>
      <c r="BJ435" s="26"/>
      <c r="BK435" s="26"/>
      <c r="BL435" s="26"/>
      <c r="BM435" s="26"/>
      <c r="BN435" s="26"/>
      <c r="BO435" s="26"/>
      <c r="BP435" s="26"/>
      <c r="BQ435" s="26"/>
      <c r="BR435" s="26"/>
      <c r="BS435" s="26"/>
      <c r="BT435" s="26"/>
      <c r="BU435" s="26"/>
      <c r="BV435" s="26"/>
      <c r="BW435" s="26"/>
      <c r="BX435" s="26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K435" s="26"/>
      <c r="CL435" s="26"/>
      <c r="CM435" s="26"/>
      <c r="CN435" s="26"/>
      <c r="CO435" s="26"/>
      <c r="CP435" s="26"/>
      <c r="CQ435" s="26"/>
      <c r="CR435" s="26"/>
      <c r="CS435" s="26"/>
      <c r="CT435" s="26"/>
      <c r="CU435" s="26"/>
      <c r="CV435" s="26"/>
      <c r="CW435" s="26"/>
      <c r="CX435" s="26"/>
      <c r="CY435" s="26"/>
      <c r="CZ435" s="26"/>
      <c r="DA435" s="26"/>
      <c r="DB435" s="26"/>
      <c r="DC435" s="26"/>
      <c r="DD435" s="26"/>
    </row>
    <row r="436" spans="59:108" x14ac:dyDescent="0.2">
      <c r="BG436" s="26"/>
      <c r="BH436" s="26"/>
      <c r="BI436" s="26"/>
      <c r="BJ436" s="26"/>
      <c r="BK436" s="26"/>
      <c r="BL436" s="26"/>
      <c r="BM436" s="26"/>
      <c r="BN436" s="26"/>
      <c r="BO436" s="26"/>
      <c r="BP436" s="26"/>
      <c r="BQ436" s="26"/>
      <c r="BR436" s="26"/>
      <c r="BS436" s="26"/>
      <c r="BT436" s="26"/>
      <c r="BU436" s="26"/>
      <c r="BV436" s="26"/>
      <c r="BW436" s="26"/>
      <c r="BX436" s="26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K436" s="26"/>
      <c r="CL436" s="26"/>
      <c r="CM436" s="26"/>
      <c r="CN436" s="26"/>
      <c r="CO436" s="26"/>
      <c r="CP436" s="26"/>
      <c r="CQ436" s="26"/>
      <c r="CR436" s="26"/>
      <c r="CS436" s="26"/>
      <c r="CT436" s="26"/>
      <c r="CU436" s="26"/>
      <c r="CV436" s="26"/>
      <c r="CW436" s="26"/>
      <c r="CX436" s="26"/>
      <c r="CY436" s="26"/>
      <c r="CZ436" s="26"/>
      <c r="DA436" s="26"/>
      <c r="DB436" s="26"/>
      <c r="DC436" s="26"/>
      <c r="DD436" s="26"/>
    </row>
    <row r="437" spans="59:108" x14ac:dyDescent="0.2">
      <c r="BG437" s="26"/>
      <c r="BH437" s="26"/>
      <c r="BI437" s="26"/>
      <c r="BJ437" s="26"/>
      <c r="BK437" s="26"/>
      <c r="BL437" s="26"/>
      <c r="BM437" s="26"/>
      <c r="BN437" s="26"/>
      <c r="BO437" s="26"/>
      <c r="BP437" s="26"/>
      <c r="BQ437" s="26"/>
      <c r="BR437" s="26"/>
      <c r="BS437" s="26"/>
      <c r="BT437" s="26"/>
      <c r="BU437" s="26"/>
      <c r="BV437" s="26"/>
      <c r="BW437" s="26"/>
      <c r="BX437" s="26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K437" s="26"/>
      <c r="CL437" s="26"/>
      <c r="CM437" s="26"/>
      <c r="CN437" s="26"/>
      <c r="CO437" s="26"/>
      <c r="CP437" s="26"/>
      <c r="CQ437" s="26"/>
      <c r="CR437" s="26"/>
      <c r="CS437" s="26"/>
      <c r="CT437" s="26"/>
      <c r="CU437" s="26"/>
      <c r="CV437" s="26"/>
      <c r="CW437" s="26"/>
      <c r="CX437" s="26"/>
      <c r="CY437" s="26"/>
      <c r="CZ437" s="26"/>
      <c r="DA437" s="26"/>
      <c r="DB437" s="26"/>
      <c r="DC437" s="26"/>
      <c r="DD437" s="26"/>
    </row>
    <row r="438" spans="59:108" x14ac:dyDescent="0.2">
      <c r="BG438" s="26"/>
      <c r="BH438" s="26"/>
      <c r="BI438" s="26"/>
      <c r="BJ438" s="26"/>
      <c r="BK438" s="26"/>
      <c r="BL438" s="26"/>
      <c r="BM438" s="26"/>
      <c r="BN438" s="26"/>
      <c r="BO438" s="26"/>
      <c r="BP438" s="26"/>
      <c r="BQ438" s="26"/>
      <c r="BR438" s="26"/>
      <c r="BS438" s="26"/>
      <c r="BT438" s="26"/>
      <c r="BU438" s="26"/>
      <c r="BV438" s="26"/>
      <c r="BW438" s="26"/>
      <c r="BX438" s="26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K438" s="26"/>
      <c r="CL438" s="26"/>
      <c r="CM438" s="26"/>
      <c r="CN438" s="26"/>
      <c r="CO438" s="26"/>
      <c r="CP438" s="26"/>
      <c r="CQ438" s="26"/>
      <c r="CR438" s="26"/>
      <c r="CS438" s="26"/>
      <c r="CT438" s="26"/>
      <c r="CU438" s="26"/>
      <c r="CV438" s="26"/>
      <c r="CW438" s="26"/>
      <c r="CX438" s="26"/>
      <c r="CY438" s="26"/>
      <c r="CZ438" s="26"/>
      <c r="DA438" s="26"/>
      <c r="DB438" s="26"/>
      <c r="DC438" s="26"/>
      <c r="DD438" s="26"/>
    </row>
    <row r="439" spans="59:108" x14ac:dyDescent="0.2">
      <c r="BG439" s="26"/>
      <c r="BH439" s="26"/>
      <c r="BI439" s="26"/>
      <c r="BJ439" s="26"/>
      <c r="BK439" s="26"/>
      <c r="BL439" s="26"/>
      <c r="BM439" s="26"/>
      <c r="BN439" s="26"/>
      <c r="BO439" s="26"/>
      <c r="BP439" s="26"/>
      <c r="BQ439" s="26"/>
      <c r="BR439" s="26"/>
      <c r="BS439" s="26"/>
      <c r="BT439" s="26"/>
      <c r="BU439" s="26"/>
      <c r="BV439" s="26"/>
      <c r="BW439" s="26"/>
      <c r="BX439" s="26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K439" s="26"/>
      <c r="CL439" s="26"/>
      <c r="CM439" s="26"/>
      <c r="CN439" s="26"/>
      <c r="CO439" s="26"/>
      <c r="CP439" s="26"/>
      <c r="CQ439" s="26"/>
      <c r="CR439" s="26"/>
      <c r="CS439" s="26"/>
      <c r="CT439" s="26"/>
      <c r="CU439" s="26"/>
      <c r="CV439" s="26"/>
      <c r="CW439" s="26"/>
      <c r="CX439" s="26"/>
      <c r="CY439" s="26"/>
      <c r="CZ439" s="26"/>
      <c r="DA439" s="26"/>
      <c r="DB439" s="26"/>
      <c r="DC439" s="26"/>
      <c r="DD439" s="26"/>
    </row>
    <row r="440" spans="59:108" x14ac:dyDescent="0.2">
      <c r="BG440" s="26"/>
      <c r="BH440" s="26"/>
      <c r="BI440" s="26"/>
      <c r="BJ440" s="26"/>
      <c r="BK440" s="26"/>
      <c r="BL440" s="26"/>
      <c r="BM440" s="26"/>
      <c r="BN440" s="26"/>
      <c r="BO440" s="26"/>
      <c r="BP440" s="26"/>
      <c r="BQ440" s="26"/>
      <c r="BR440" s="26"/>
      <c r="BS440" s="26"/>
      <c r="BT440" s="26"/>
      <c r="BU440" s="26"/>
      <c r="BV440" s="26"/>
      <c r="BW440" s="26"/>
      <c r="BX440" s="26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K440" s="26"/>
      <c r="CL440" s="26"/>
      <c r="CM440" s="26"/>
      <c r="CN440" s="26"/>
      <c r="CO440" s="26"/>
      <c r="CP440" s="26"/>
      <c r="CQ440" s="26"/>
      <c r="CR440" s="26"/>
      <c r="CS440" s="26"/>
      <c r="CT440" s="26"/>
      <c r="CU440" s="26"/>
      <c r="CV440" s="26"/>
      <c r="CW440" s="26"/>
      <c r="CX440" s="26"/>
      <c r="CY440" s="26"/>
      <c r="CZ440" s="26"/>
      <c r="DA440" s="26"/>
      <c r="DB440" s="26"/>
      <c r="DC440" s="26"/>
      <c r="DD440" s="26"/>
    </row>
    <row r="441" spans="59:108" x14ac:dyDescent="0.2">
      <c r="BG441" s="26"/>
      <c r="BH441" s="26"/>
      <c r="BI441" s="26"/>
      <c r="BJ441" s="26"/>
      <c r="BK441" s="26"/>
      <c r="BL441" s="26"/>
      <c r="BM441" s="26"/>
      <c r="BN441" s="26"/>
      <c r="BO441" s="26"/>
      <c r="BP441" s="26"/>
      <c r="BQ441" s="26"/>
      <c r="BR441" s="26"/>
      <c r="BS441" s="26"/>
      <c r="BT441" s="26"/>
      <c r="BU441" s="26"/>
      <c r="BV441" s="26"/>
      <c r="BW441" s="26"/>
      <c r="BX441" s="26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K441" s="26"/>
      <c r="CL441" s="26"/>
      <c r="CM441" s="26"/>
      <c r="CN441" s="26"/>
      <c r="CO441" s="26"/>
      <c r="CP441" s="26"/>
      <c r="CQ441" s="26"/>
      <c r="CR441" s="26"/>
      <c r="CS441" s="26"/>
      <c r="CT441" s="26"/>
      <c r="CU441" s="26"/>
      <c r="CV441" s="26"/>
      <c r="CW441" s="26"/>
      <c r="CX441" s="26"/>
      <c r="CY441" s="26"/>
      <c r="CZ441" s="26"/>
      <c r="DA441" s="26"/>
      <c r="DB441" s="26"/>
      <c r="DC441" s="26"/>
      <c r="DD441" s="26"/>
    </row>
    <row r="442" spans="59:108" x14ac:dyDescent="0.2">
      <c r="BG442" s="26"/>
      <c r="BH442" s="26"/>
      <c r="BI442" s="26"/>
      <c r="BJ442" s="26"/>
      <c r="BK442" s="26"/>
      <c r="BL442" s="26"/>
      <c r="BM442" s="26"/>
      <c r="BN442" s="26"/>
      <c r="BO442" s="26"/>
      <c r="BP442" s="26"/>
      <c r="BQ442" s="26"/>
      <c r="BR442" s="26"/>
      <c r="BS442" s="26"/>
      <c r="BT442" s="26"/>
      <c r="BU442" s="26"/>
      <c r="BV442" s="26"/>
      <c r="BW442" s="26"/>
      <c r="BX442" s="26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K442" s="26"/>
      <c r="CL442" s="26"/>
      <c r="CM442" s="26"/>
      <c r="CN442" s="26"/>
      <c r="CO442" s="26"/>
      <c r="CP442" s="26"/>
      <c r="CQ442" s="26"/>
      <c r="CR442" s="26"/>
      <c r="CS442" s="26"/>
      <c r="CT442" s="26"/>
      <c r="CU442" s="26"/>
      <c r="CV442" s="26"/>
      <c r="CW442" s="26"/>
      <c r="CX442" s="26"/>
      <c r="CY442" s="26"/>
      <c r="CZ442" s="26"/>
      <c r="DA442" s="26"/>
      <c r="DB442" s="26"/>
      <c r="DC442" s="26"/>
      <c r="DD442" s="26"/>
    </row>
    <row r="443" spans="59:108" x14ac:dyDescent="0.2">
      <c r="BG443" s="26"/>
      <c r="BH443" s="26"/>
      <c r="BI443" s="26"/>
      <c r="BJ443" s="26"/>
      <c r="BK443" s="26"/>
      <c r="BL443" s="26"/>
      <c r="BM443" s="26"/>
      <c r="BN443" s="26"/>
      <c r="BO443" s="26"/>
      <c r="BP443" s="26"/>
      <c r="BQ443" s="26"/>
      <c r="BR443" s="26"/>
      <c r="BS443" s="26"/>
      <c r="BT443" s="26"/>
      <c r="BU443" s="26"/>
      <c r="BV443" s="26"/>
      <c r="BW443" s="26"/>
      <c r="BX443" s="26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K443" s="26"/>
      <c r="CL443" s="26"/>
      <c r="CM443" s="26"/>
      <c r="CN443" s="26"/>
      <c r="CO443" s="26"/>
      <c r="CP443" s="26"/>
      <c r="CQ443" s="26"/>
      <c r="CR443" s="26"/>
      <c r="CS443" s="26"/>
      <c r="CT443" s="26"/>
      <c r="CU443" s="26"/>
      <c r="CV443" s="26"/>
      <c r="CW443" s="26"/>
      <c r="CX443" s="26"/>
      <c r="CY443" s="26"/>
      <c r="CZ443" s="26"/>
      <c r="DA443" s="26"/>
      <c r="DB443" s="26"/>
      <c r="DC443" s="26"/>
      <c r="DD443" s="26"/>
    </row>
    <row r="444" spans="59:108" x14ac:dyDescent="0.2">
      <c r="BG444" s="26"/>
      <c r="BH444" s="26"/>
      <c r="BI444" s="26"/>
      <c r="BJ444" s="26"/>
      <c r="BK444" s="26"/>
      <c r="BL444" s="26"/>
      <c r="BM444" s="26"/>
      <c r="BN444" s="26"/>
      <c r="BO444" s="26"/>
      <c r="BP444" s="26"/>
      <c r="BQ444" s="26"/>
      <c r="BR444" s="26"/>
      <c r="BS444" s="26"/>
      <c r="BT444" s="26"/>
      <c r="BU444" s="26"/>
      <c r="BV444" s="26"/>
      <c r="BW444" s="26"/>
      <c r="BX444" s="26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K444" s="26"/>
      <c r="CL444" s="26"/>
      <c r="CM444" s="26"/>
      <c r="CN444" s="26"/>
      <c r="CO444" s="26"/>
      <c r="CP444" s="26"/>
      <c r="CQ444" s="26"/>
      <c r="CR444" s="26"/>
      <c r="CS444" s="26"/>
      <c r="CT444" s="26"/>
      <c r="CU444" s="26"/>
      <c r="CV444" s="26"/>
      <c r="CW444" s="26"/>
      <c r="CX444" s="26"/>
      <c r="CY444" s="26"/>
      <c r="CZ444" s="26"/>
      <c r="DA444" s="26"/>
      <c r="DB444" s="26"/>
      <c r="DC444" s="26"/>
      <c r="DD444" s="26"/>
    </row>
    <row r="445" spans="59:108" x14ac:dyDescent="0.2">
      <c r="BG445" s="26"/>
      <c r="BH445" s="26"/>
      <c r="BI445" s="26"/>
      <c r="BJ445" s="26"/>
      <c r="BK445" s="26"/>
      <c r="BL445" s="26"/>
      <c r="BM445" s="26"/>
      <c r="BN445" s="26"/>
      <c r="BO445" s="26"/>
      <c r="BP445" s="26"/>
      <c r="BQ445" s="26"/>
      <c r="BR445" s="26"/>
      <c r="BS445" s="26"/>
      <c r="BT445" s="26"/>
      <c r="BU445" s="26"/>
      <c r="BV445" s="26"/>
      <c r="BW445" s="26"/>
      <c r="BX445" s="26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K445" s="26"/>
      <c r="CL445" s="26"/>
      <c r="CM445" s="26"/>
      <c r="CN445" s="26"/>
      <c r="CO445" s="26"/>
      <c r="CP445" s="26"/>
      <c r="CQ445" s="26"/>
      <c r="CR445" s="26"/>
      <c r="CS445" s="26"/>
      <c r="CT445" s="26"/>
      <c r="CU445" s="26"/>
      <c r="CV445" s="26"/>
      <c r="CW445" s="26"/>
      <c r="CX445" s="26"/>
      <c r="CY445" s="26"/>
      <c r="CZ445" s="26"/>
      <c r="DA445" s="26"/>
      <c r="DB445" s="26"/>
      <c r="DC445" s="26"/>
      <c r="DD445" s="26"/>
    </row>
    <row r="446" spans="59:108" x14ac:dyDescent="0.2">
      <c r="BG446" s="26"/>
      <c r="BH446" s="26"/>
      <c r="BI446" s="26"/>
      <c r="BJ446" s="26"/>
      <c r="BK446" s="26"/>
      <c r="BL446" s="26"/>
      <c r="BM446" s="26"/>
      <c r="BN446" s="26"/>
      <c r="BO446" s="26"/>
      <c r="BP446" s="26"/>
      <c r="BQ446" s="26"/>
      <c r="BR446" s="26"/>
      <c r="BS446" s="26"/>
      <c r="BT446" s="26"/>
      <c r="BU446" s="26"/>
      <c r="BV446" s="26"/>
      <c r="BW446" s="26"/>
      <c r="BX446" s="26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K446" s="26"/>
      <c r="CL446" s="26"/>
      <c r="CM446" s="26"/>
      <c r="CN446" s="26"/>
      <c r="CO446" s="26"/>
      <c r="CP446" s="26"/>
      <c r="CQ446" s="26"/>
      <c r="CR446" s="26"/>
      <c r="CS446" s="26"/>
      <c r="CT446" s="26"/>
      <c r="CU446" s="26"/>
      <c r="CV446" s="26"/>
      <c r="CW446" s="26"/>
      <c r="CX446" s="26"/>
      <c r="CY446" s="26"/>
      <c r="CZ446" s="26"/>
      <c r="DA446" s="26"/>
      <c r="DB446" s="26"/>
      <c r="DC446" s="26"/>
      <c r="DD446" s="26"/>
    </row>
    <row r="447" spans="59:108" x14ac:dyDescent="0.2">
      <c r="BG447" s="26"/>
      <c r="BH447" s="26"/>
      <c r="BI447" s="26"/>
      <c r="BJ447" s="26"/>
      <c r="BK447" s="26"/>
      <c r="BL447" s="26"/>
      <c r="BM447" s="26"/>
      <c r="BN447" s="26"/>
      <c r="BO447" s="26"/>
      <c r="BP447" s="26"/>
      <c r="BQ447" s="26"/>
      <c r="BR447" s="26"/>
      <c r="BS447" s="26"/>
      <c r="BT447" s="26"/>
      <c r="BU447" s="26"/>
      <c r="BV447" s="26"/>
      <c r="BW447" s="26"/>
      <c r="BX447" s="26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K447" s="26"/>
      <c r="CL447" s="26"/>
      <c r="CM447" s="26"/>
      <c r="CN447" s="26"/>
      <c r="CO447" s="26"/>
      <c r="CP447" s="26"/>
      <c r="CQ447" s="26"/>
      <c r="CR447" s="26"/>
      <c r="CS447" s="26"/>
      <c r="CT447" s="26"/>
      <c r="CU447" s="26"/>
      <c r="CV447" s="26"/>
      <c r="CW447" s="26"/>
      <c r="CX447" s="26"/>
      <c r="CY447" s="26"/>
      <c r="CZ447" s="26"/>
      <c r="DA447" s="26"/>
      <c r="DB447" s="26"/>
      <c r="DC447" s="26"/>
      <c r="DD447" s="26"/>
    </row>
    <row r="448" spans="59:108" x14ac:dyDescent="0.2">
      <c r="BG448" s="26"/>
      <c r="BH448" s="26"/>
      <c r="BI448" s="26"/>
      <c r="BJ448" s="26"/>
      <c r="BK448" s="26"/>
      <c r="BL448" s="26"/>
      <c r="BM448" s="26"/>
      <c r="BN448" s="26"/>
      <c r="BO448" s="26"/>
      <c r="BP448" s="26"/>
      <c r="BQ448" s="26"/>
      <c r="BR448" s="26"/>
      <c r="BS448" s="26"/>
      <c r="BT448" s="26"/>
      <c r="BU448" s="26"/>
      <c r="BV448" s="26"/>
      <c r="BW448" s="26"/>
      <c r="BX448" s="26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K448" s="26"/>
      <c r="CL448" s="26"/>
      <c r="CM448" s="26"/>
      <c r="CN448" s="26"/>
      <c r="CO448" s="26"/>
      <c r="CP448" s="26"/>
      <c r="CQ448" s="26"/>
      <c r="CR448" s="26"/>
      <c r="CS448" s="26"/>
      <c r="CT448" s="26"/>
      <c r="CU448" s="26"/>
      <c r="CV448" s="26"/>
      <c r="CW448" s="26"/>
      <c r="CX448" s="26"/>
      <c r="CY448" s="26"/>
      <c r="CZ448" s="26"/>
      <c r="DA448" s="26"/>
      <c r="DB448" s="26"/>
      <c r="DC448" s="26"/>
      <c r="DD448" s="26"/>
    </row>
    <row r="449" spans="59:108" x14ac:dyDescent="0.2">
      <c r="BG449" s="26"/>
      <c r="BH449" s="26"/>
      <c r="BI449" s="26"/>
      <c r="BJ449" s="26"/>
      <c r="BK449" s="26"/>
      <c r="BL449" s="26"/>
      <c r="BM449" s="26"/>
      <c r="BN449" s="26"/>
      <c r="BO449" s="26"/>
      <c r="BP449" s="26"/>
      <c r="BQ449" s="26"/>
      <c r="BR449" s="26"/>
      <c r="BS449" s="26"/>
      <c r="BT449" s="26"/>
      <c r="BU449" s="26"/>
      <c r="BV449" s="26"/>
      <c r="BW449" s="26"/>
      <c r="BX449" s="26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K449" s="26"/>
      <c r="CL449" s="26"/>
      <c r="CM449" s="26"/>
      <c r="CN449" s="26"/>
      <c r="CO449" s="26"/>
      <c r="CP449" s="26"/>
      <c r="CQ449" s="26"/>
      <c r="CR449" s="26"/>
      <c r="CS449" s="26"/>
      <c r="CT449" s="26"/>
      <c r="CU449" s="26"/>
      <c r="CV449" s="26"/>
      <c r="CW449" s="26"/>
      <c r="CX449" s="26"/>
      <c r="CY449" s="26"/>
      <c r="CZ449" s="26"/>
      <c r="DA449" s="26"/>
      <c r="DB449" s="26"/>
      <c r="DC449" s="26"/>
      <c r="DD449" s="26"/>
    </row>
    <row r="450" spans="59:108" x14ac:dyDescent="0.2">
      <c r="BG450" s="26"/>
      <c r="BH450" s="26"/>
      <c r="BI450" s="26"/>
      <c r="BJ450" s="26"/>
      <c r="BK450" s="26"/>
      <c r="BL450" s="26"/>
      <c r="BM450" s="26"/>
      <c r="BN450" s="26"/>
      <c r="BO450" s="26"/>
      <c r="BP450" s="26"/>
      <c r="BQ450" s="26"/>
      <c r="BR450" s="26"/>
      <c r="BS450" s="26"/>
      <c r="BT450" s="26"/>
      <c r="BU450" s="26"/>
      <c r="BV450" s="26"/>
      <c r="BW450" s="26"/>
      <c r="BX450" s="26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K450" s="26"/>
      <c r="CL450" s="26"/>
      <c r="CM450" s="26"/>
      <c r="CN450" s="26"/>
      <c r="CO450" s="26"/>
      <c r="CP450" s="26"/>
      <c r="CQ450" s="26"/>
      <c r="CR450" s="26"/>
      <c r="CS450" s="26"/>
      <c r="CT450" s="26"/>
      <c r="CU450" s="26"/>
      <c r="CV450" s="26"/>
      <c r="CW450" s="26"/>
      <c r="CX450" s="26"/>
      <c r="CY450" s="26"/>
      <c r="CZ450" s="26"/>
      <c r="DA450" s="26"/>
      <c r="DB450" s="26"/>
      <c r="DC450" s="26"/>
      <c r="DD450" s="26"/>
    </row>
    <row r="451" spans="59:108" x14ac:dyDescent="0.2">
      <c r="BG451" s="26"/>
      <c r="BH451" s="26"/>
      <c r="BI451" s="26"/>
      <c r="BJ451" s="26"/>
      <c r="BK451" s="26"/>
      <c r="BL451" s="26"/>
      <c r="BM451" s="26"/>
      <c r="BN451" s="26"/>
      <c r="BO451" s="26"/>
      <c r="BP451" s="26"/>
      <c r="BQ451" s="26"/>
      <c r="BR451" s="26"/>
      <c r="BS451" s="26"/>
      <c r="BT451" s="26"/>
      <c r="BU451" s="26"/>
      <c r="BV451" s="26"/>
      <c r="BW451" s="26"/>
      <c r="BX451" s="26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K451" s="26"/>
      <c r="CL451" s="26"/>
      <c r="CM451" s="26"/>
      <c r="CN451" s="26"/>
      <c r="CO451" s="26"/>
      <c r="CP451" s="26"/>
      <c r="CQ451" s="26"/>
      <c r="CR451" s="26"/>
      <c r="CS451" s="26"/>
      <c r="CT451" s="26"/>
      <c r="CU451" s="26"/>
      <c r="CV451" s="26"/>
      <c r="CW451" s="26"/>
      <c r="CX451" s="26"/>
      <c r="CY451" s="26"/>
      <c r="CZ451" s="26"/>
      <c r="DA451" s="26"/>
      <c r="DB451" s="26"/>
      <c r="DC451" s="26"/>
      <c r="DD451" s="26"/>
    </row>
    <row r="452" spans="59:108" x14ac:dyDescent="0.2">
      <c r="BG452" s="26"/>
      <c r="BH452" s="26"/>
      <c r="BI452" s="26"/>
      <c r="BJ452" s="26"/>
      <c r="BK452" s="26"/>
      <c r="BL452" s="26"/>
      <c r="BM452" s="26"/>
      <c r="BN452" s="26"/>
      <c r="BO452" s="26"/>
      <c r="BP452" s="26"/>
      <c r="BQ452" s="26"/>
      <c r="BR452" s="26"/>
      <c r="BS452" s="26"/>
      <c r="BT452" s="26"/>
      <c r="BU452" s="26"/>
      <c r="BV452" s="26"/>
      <c r="BW452" s="26"/>
      <c r="BX452" s="26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K452" s="26"/>
      <c r="CL452" s="26"/>
      <c r="CM452" s="26"/>
      <c r="CN452" s="26"/>
      <c r="CO452" s="26"/>
      <c r="CP452" s="26"/>
      <c r="CQ452" s="26"/>
      <c r="CR452" s="26"/>
      <c r="CS452" s="26"/>
      <c r="CT452" s="26"/>
      <c r="CU452" s="26"/>
      <c r="CV452" s="26"/>
      <c r="CW452" s="26"/>
      <c r="CX452" s="26"/>
      <c r="CY452" s="26"/>
      <c r="CZ452" s="26"/>
      <c r="DA452" s="26"/>
      <c r="DB452" s="26"/>
      <c r="DC452" s="26"/>
      <c r="DD452" s="26"/>
    </row>
    <row r="453" spans="59:108" x14ac:dyDescent="0.2">
      <c r="BG453" s="26"/>
      <c r="BH453" s="26"/>
      <c r="BI453" s="26"/>
      <c r="BJ453" s="26"/>
      <c r="BK453" s="26"/>
      <c r="BL453" s="26"/>
      <c r="BM453" s="26"/>
      <c r="BN453" s="26"/>
      <c r="BO453" s="26"/>
      <c r="BP453" s="26"/>
      <c r="BQ453" s="26"/>
      <c r="BR453" s="26"/>
      <c r="BS453" s="26"/>
      <c r="BT453" s="26"/>
      <c r="BU453" s="26"/>
      <c r="BV453" s="26"/>
      <c r="BW453" s="26"/>
      <c r="BX453" s="26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K453" s="26"/>
      <c r="CL453" s="26"/>
      <c r="CM453" s="26"/>
      <c r="CN453" s="26"/>
      <c r="CO453" s="26"/>
      <c r="CP453" s="26"/>
      <c r="CQ453" s="26"/>
      <c r="CR453" s="26"/>
      <c r="CS453" s="26"/>
      <c r="CT453" s="26"/>
      <c r="CU453" s="26"/>
      <c r="CV453" s="26"/>
      <c r="CW453" s="26"/>
      <c r="CX453" s="26"/>
      <c r="CY453" s="26"/>
      <c r="CZ453" s="26"/>
      <c r="DA453" s="26"/>
      <c r="DB453" s="26"/>
      <c r="DC453" s="26"/>
      <c r="DD453" s="26"/>
    </row>
    <row r="454" spans="59:108" x14ac:dyDescent="0.2">
      <c r="BG454" s="26"/>
      <c r="BH454" s="26"/>
      <c r="BI454" s="26"/>
      <c r="BJ454" s="26"/>
      <c r="BK454" s="26"/>
      <c r="BL454" s="26"/>
      <c r="BM454" s="26"/>
      <c r="BN454" s="26"/>
      <c r="BO454" s="26"/>
      <c r="BP454" s="26"/>
      <c r="BQ454" s="26"/>
      <c r="BR454" s="26"/>
      <c r="BS454" s="26"/>
      <c r="BT454" s="26"/>
      <c r="BU454" s="26"/>
      <c r="BV454" s="26"/>
      <c r="BW454" s="26"/>
      <c r="BX454" s="26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K454" s="26"/>
      <c r="CL454" s="26"/>
      <c r="CM454" s="26"/>
      <c r="CN454" s="26"/>
      <c r="CO454" s="26"/>
      <c r="CP454" s="26"/>
      <c r="CQ454" s="26"/>
      <c r="CR454" s="26"/>
      <c r="CS454" s="26"/>
      <c r="CT454" s="26"/>
      <c r="CU454" s="26"/>
      <c r="CV454" s="26"/>
      <c r="CW454" s="26"/>
      <c r="CX454" s="26"/>
      <c r="CY454" s="26"/>
      <c r="CZ454" s="26"/>
      <c r="DA454" s="26"/>
      <c r="DB454" s="26"/>
      <c r="DC454" s="26"/>
      <c r="DD454" s="26"/>
    </row>
    <row r="455" spans="59:108" x14ac:dyDescent="0.2">
      <c r="BG455" s="26"/>
      <c r="BH455" s="26"/>
      <c r="BI455" s="26"/>
      <c r="BJ455" s="26"/>
      <c r="BK455" s="26"/>
      <c r="BL455" s="26"/>
      <c r="BM455" s="26"/>
      <c r="BN455" s="26"/>
      <c r="BO455" s="26"/>
      <c r="BP455" s="26"/>
      <c r="BQ455" s="26"/>
      <c r="BR455" s="26"/>
      <c r="BS455" s="26"/>
      <c r="BT455" s="26"/>
      <c r="BU455" s="26"/>
      <c r="BV455" s="26"/>
      <c r="BW455" s="26"/>
      <c r="BX455" s="26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K455" s="26"/>
      <c r="CL455" s="26"/>
      <c r="CM455" s="26"/>
      <c r="CN455" s="26"/>
      <c r="CO455" s="26"/>
      <c r="CP455" s="26"/>
      <c r="CQ455" s="26"/>
      <c r="CR455" s="26"/>
      <c r="CS455" s="26"/>
      <c r="CT455" s="26"/>
      <c r="CU455" s="26"/>
      <c r="CV455" s="26"/>
      <c r="CW455" s="26"/>
      <c r="CX455" s="26"/>
      <c r="CY455" s="26"/>
      <c r="CZ455" s="26"/>
      <c r="DA455" s="26"/>
      <c r="DB455" s="26"/>
      <c r="DC455" s="26"/>
      <c r="DD455" s="26"/>
    </row>
    <row r="456" spans="59:108" x14ac:dyDescent="0.2">
      <c r="BG456" s="26"/>
      <c r="BH456" s="26"/>
      <c r="BI456" s="26"/>
      <c r="BJ456" s="26"/>
      <c r="BK456" s="26"/>
      <c r="BL456" s="26"/>
      <c r="BM456" s="26"/>
      <c r="BN456" s="26"/>
      <c r="BO456" s="26"/>
      <c r="BP456" s="26"/>
      <c r="BQ456" s="26"/>
      <c r="BR456" s="26"/>
      <c r="BS456" s="26"/>
      <c r="BT456" s="26"/>
      <c r="BU456" s="26"/>
      <c r="BV456" s="26"/>
      <c r="BW456" s="26"/>
      <c r="BX456" s="26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K456" s="26"/>
      <c r="CL456" s="26"/>
      <c r="CM456" s="26"/>
      <c r="CN456" s="26"/>
      <c r="CO456" s="26"/>
      <c r="CP456" s="26"/>
      <c r="CQ456" s="26"/>
      <c r="CR456" s="26"/>
      <c r="CS456" s="26"/>
      <c r="CT456" s="26"/>
      <c r="CU456" s="26"/>
      <c r="CV456" s="26"/>
      <c r="CW456" s="26"/>
      <c r="CX456" s="26"/>
      <c r="CY456" s="26"/>
      <c r="CZ456" s="26"/>
      <c r="DA456" s="26"/>
      <c r="DB456" s="26"/>
      <c r="DC456" s="26"/>
      <c r="DD456" s="26"/>
    </row>
    <row r="457" spans="59:108" x14ac:dyDescent="0.2">
      <c r="BG457" s="26"/>
      <c r="BH457" s="26"/>
      <c r="BI457" s="26"/>
      <c r="BJ457" s="26"/>
      <c r="BK457" s="26"/>
      <c r="BL457" s="26"/>
      <c r="BM457" s="26"/>
      <c r="BN457" s="26"/>
      <c r="BO457" s="26"/>
      <c r="BP457" s="26"/>
      <c r="BQ457" s="26"/>
      <c r="BR457" s="26"/>
      <c r="BS457" s="26"/>
      <c r="BT457" s="26"/>
      <c r="BU457" s="26"/>
      <c r="BV457" s="26"/>
      <c r="BW457" s="26"/>
      <c r="BX457" s="26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K457" s="26"/>
      <c r="CL457" s="26"/>
      <c r="CM457" s="26"/>
      <c r="CN457" s="26"/>
      <c r="CO457" s="26"/>
      <c r="CP457" s="26"/>
      <c r="CQ457" s="26"/>
      <c r="CR457" s="26"/>
      <c r="CS457" s="26"/>
      <c r="CT457" s="26"/>
      <c r="CU457" s="26"/>
      <c r="CV457" s="26"/>
      <c r="CW457" s="26"/>
      <c r="CX457" s="26"/>
      <c r="CY457" s="26"/>
      <c r="CZ457" s="26"/>
      <c r="DA457" s="26"/>
      <c r="DB457" s="26"/>
      <c r="DC457" s="26"/>
      <c r="DD457" s="26"/>
    </row>
    <row r="458" spans="59:108" x14ac:dyDescent="0.2">
      <c r="BG458" s="26"/>
      <c r="BH458" s="26"/>
      <c r="BI458" s="26"/>
      <c r="BJ458" s="26"/>
      <c r="BK458" s="26"/>
      <c r="BL458" s="26"/>
      <c r="BM458" s="26"/>
      <c r="BN458" s="26"/>
      <c r="BO458" s="26"/>
      <c r="BP458" s="26"/>
      <c r="BQ458" s="26"/>
      <c r="BR458" s="26"/>
      <c r="BS458" s="26"/>
      <c r="BT458" s="26"/>
      <c r="BU458" s="26"/>
      <c r="BV458" s="26"/>
      <c r="BW458" s="26"/>
      <c r="BX458" s="26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K458" s="26"/>
      <c r="CL458" s="26"/>
      <c r="CM458" s="26"/>
      <c r="CN458" s="26"/>
      <c r="CO458" s="26"/>
      <c r="CP458" s="26"/>
      <c r="CQ458" s="26"/>
      <c r="CR458" s="26"/>
      <c r="CS458" s="26"/>
      <c r="CT458" s="26"/>
      <c r="CU458" s="26"/>
      <c r="CV458" s="26"/>
      <c r="CW458" s="26"/>
      <c r="CX458" s="26"/>
      <c r="CY458" s="26"/>
      <c r="CZ458" s="26"/>
      <c r="DA458" s="26"/>
      <c r="DB458" s="26"/>
      <c r="DC458" s="26"/>
      <c r="DD458" s="26"/>
    </row>
    <row r="459" spans="59:108" x14ac:dyDescent="0.2">
      <c r="BG459" s="26"/>
      <c r="BH459" s="26"/>
      <c r="BI459" s="26"/>
      <c r="BJ459" s="26"/>
      <c r="BK459" s="26"/>
      <c r="BL459" s="26"/>
      <c r="BM459" s="26"/>
      <c r="BN459" s="26"/>
      <c r="BO459" s="26"/>
      <c r="BP459" s="26"/>
      <c r="BQ459" s="26"/>
      <c r="BR459" s="26"/>
      <c r="BS459" s="26"/>
      <c r="BT459" s="26"/>
      <c r="BU459" s="26"/>
      <c r="BV459" s="26"/>
      <c r="BW459" s="26"/>
      <c r="BX459" s="26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K459" s="26"/>
      <c r="CL459" s="26"/>
      <c r="CM459" s="26"/>
      <c r="CN459" s="26"/>
      <c r="CO459" s="26"/>
      <c r="CP459" s="26"/>
      <c r="CQ459" s="26"/>
      <c r="CR459" s="26"/>
      <c r="CS459" s="26"/>
      <c r="CT459" s="26"/>
      <c r="CU459" s="26"/>
      <c r="CV459" s="26"/>
      <c r="CW459" s="26"/>
      <c r="CX459" s="26"/>
      <c r="CY459" s="26"/>
      <c r="CZ459" s="26"/>
      <c r="DA459" s="26"/>
      <c r="DB459" s="26"/>
      <c r="DC459" s="26"/>
      <c r="DD459" s="26"/>
    </row>
    <row r="460" spans="59:108" x14ac:dyDescent="0.2">
      <c r="BG460" s="26"/>
      <c r="BH460" s="26"/>
      <c r="BI460" s="26"/>
      <c r="BJ460" s="26"/>
      <c r="BK460" s="26"/>
      <c r="BL460" s="26"/>
      <c r="BM460" s="26"/>
      <c r="BN460" s="26"/>
      <c r="BO460" s="26"/>
      <c r="BP460" s="26"/>
      <c r="BQ460" s="26"/>
      <c r="BR460" s="26"/>
      <c r="BS460" s="26"/>
      <c r="BT460" s="26"/>
      <c r="BU460" s="26"/>
      <c r="BV460" s="26"/>
      <c r="BW460" s="26"/>
      <c r="BX460" s="26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K460" s="26"/>
      <c r="CL460" s="26"/>
      <c r="CM460" s="26"/>
      <c r="CN460" s="26"/>
      <c r="CO460" s="26"/>
      <c r="CP460" s="26"/>
      <c r="CQ460" s="26"/>
      <c r="CR460" s="26"/>
      <c r="CS460" s="26"/>
      <c r="CT460" s="26"/>
      <c r="CU460" s="26"/>
      <c r="CV460" s="26"/>
      <c r="CW460" s="26"/>
      <c r="CX460" s="26"/>
      <c r="CY460" s="26"/>
      <c r="CZ460" s="26"/>
      <c r="DA460" s="26"/>
      <c r="DB460" s="26"/>
      <c r="DC460" s="26"/>
      <c r="DD460" s="26"/>
    </row>
    <row r="461" spans="59:108" x14ac:dyDescent="0.2">
      <c r="BG461" s="26"/>
      <c r="BH461" s="26"/>
      <c r="BI461" s="26"/>
      <c r="BJ461" s="26"/>
      <c r="BK461" s="26"/>
      <c r="BL461" s="26"/>
      <c r="BM461" s="26"/>
      <c r="BN461" s="26"/>
      <c r="BO461" s="26"/>
      <c r="BP461" s="26"/>
      <c r="BQ461" s="26"/>
      <c r="BR461" s="26"/>
      <c r="BS461" s="26"/>
      <c r="BT461" s="26"/>
      <c r="BU461" s="26"/>
      <c r="BV461" s="26"/>
      <c r="BW461" s="26"/>
      <c r="BX461" s="26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K461" s="26"/>
      <c r="CL461" s="26"/>
      <c r="CM461" s="26"/>
      <c r="CN461" s="26"/>
      <c r="CO461" s="26"/>
      <c r="CP461" s="26"/>
      <c r="CQ461" s="26"/>
      <c r="CR461" s="26"/>
      <c r="CS461" s="26"/>
      <c r="CT461" s="26"/>
      <c r="CU461" s="26"/>
      <c r="CV461" s="26"/>
      <c r="CW461" s="26"/>
      <c r="CX461" s="26"/>
      <c r="CY461" s="26"/>
      <c r="CZ461" s="26"/>
      <c r="DA461" s="26"/>
      <c r="DB461" s="26"/>
      <c r="DC461" s="26"/>
      <c r="DD461" s="26"/>
    </row>
    <row r="462" spans="59:108" x14ac:dyDescent="0.2">
      <c r="BG462" s="26"/>
      <c r="BH462" s="26"/>
      <c r="BI462" s="26"/>
      <c r="BJ462" s="26"/>
      <c r="BK462" s="26"/>
      <c r="BL462" s="26"/>
      <c r="BM462" s="26"/>
      <c r="BN462" s="26"/>
      <c r="BO462" s="26"/>
      <c r="BP462" s="26"/>
      <c r="BQ462" s="26"/>
      <c r="BR462" s="26"/>
      <c r="BS462" s="26"/>
      <c r="BT462" s="26"/>
      <c r="BU462" s="26"/>
      <c r="BV462" s="26"/>
      <c r="BW462" s="26"/>
      <c r="BX462" s="26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K462" s="26"/>
      <c r="CL462" s="26"/>
      <c r="CM462" s="26"/>
      <c r="CN462" s="26"/>
      <c r="CO462" s="26"/>
      <c r="CP462" s="26"/>
      <c r="CQ462" s="26"/>
      <c r="CR462" s="26"/>
      <c r="CS462" s="26"/>
      <c r="CT462" s="26"/>
      <c r="CU462" s="26"/>
      <c r="CV462" s="26"/>
      <c r="CW462" s="26"/>
      <c r="CX462" s="26"/>
      <c r="CY462" s="26"/>
      <c r="CZ462" s="26"/>
      <c r="DA462" s="26"/>
      <c r="DB462" s="26"/>
      <c r="DC462" s="26"/>
      <c r="DD462" s="26"/>
    </row>
    <row r="463" spans="59:108" x14ac:dyDescent="0.2">
      <c r="BG463" s="26"/>
      <c r="BH463" s="26"/>
      <c r="BI463" s="26"/>
      <c r="BJ463" s="26"/>
      <c r="BK463" s="26"/>
      <c r="BL463" s="26"/>
      <c r="BM463" s="26"/>
      <c r="BN463" s="26"/>
      <c r="BO463" s="26"/>
      <c r="BP463" s="26"/>
      <c r="BQ463" s="26"/>
      <c r="BR463" s="26"/>
      <c r="BS463" s="26"/>
      <c r="BT463" s="26"/>
      <c r="BU463" s="26"/>
      <c r="BV463" s="26"/>
      <c r="BW463" s="26"/>
      <c r="BX463" s="26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K463" s="26"/>
      <c r="CL463" s="26"/>
      <c r="CM463" s="26"/>
      <c r="CN463" s="26"/>
      <c r="CO463" s="26"/>
      <c r="CP463" s="26"/>
      <c r="CQ463" s="26"/>
      <c r="CR463" s="26"/>
      <c r="CS463" s="26"/>
      <c r="CT463" s="26"/>
      <c r="CU463" s="26"/>
      <c r="CV463" s="26"/>
      <c r="CW463" s="26"/>
      <c r="CX463" s="26"/>
      <c r="CY463" s="26"/>
      <c r="CZ463" s="26"/>
      <c r="DA463" s="26"/>
      <c r="DB463" s="26"/>
      <c r="DC463" s="26"/>
      <c r="DD463" s="26"/>
    </row>
    <row r="464" spans="59:108" x14ac:dyDescent="0.2">
      <c r="BG464" s="26"/>
      <c r="BH464" s="26"/>
      <c r="BI464" s="26"/>
      <c r="BJ464" s="26"/>
      <c r="BK464" s="26"/>
      <c r="BL464" s="26"/>
      <c r="BM464" s="26"/>
      <c r="BN464" s="26"/>
      <c r="BO464" s="26"/>
      <c r="BP464" s="26"/>
      <c r="BQ464" s="26"/>
      <c r="BR464" s="26"/>
      <c r="BS464" s="26"/>
      <c r="BT464" s="26"/>
      <c r="BU464" s="26"/>
      <c r="BV464" s="26"/>
      <c r="BW464" s="26"/>
      <c r="BX464" s="26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K464" s="26"/>
      <c r="CL464" s="26"/>
      <c r="CM464" s="26"/>
      <c r="CN464" s="26"/>
      <c r="CO464" s="26"/>
      <c r="CP464" s="26"/>
      <c r="CQ464" s="26"/>
      <c r="CR464" s="26"/>
      <c r="CS464" s="26"/>
      <c r="CT464" s="26"/>
      <c r="CU464" s="26"/>
      <c r="CV464" s="26"/>
      <c r="CW464" s="26"/>
      <c r="CX464" s="26"/>
      <c r="CY464" s="26"/>
      <c r="CZ464" s="26"/>
      <c r="DA464" s="26"/>
      <c r="DB464" s="26"/>
      <c r="DC464" s="26"/>
      <c r="DD464" s="26"/>
    </row>
    <row r="465" spans="59:108" x14ac:dyDescent="0.2">
      <c r="BG465" s="26"/>
      <c r="BH465" s="26"/>
      <c r="BI465" s="26"/>
      <c r="BJ465" s="26"/>
      <c r="BK465" s="26"/>
      <c r="BL465" s="26"/>
      <c r="BM465" s="26"/>
      <c r="BN465" s="26"/>
      <c r="BO465" s="26"/>
      <c r="BP465" s="26"/>
      <c r="BQ465" s="26"/>
      <c r="BR465" s="26"/>
      <c r="BS465" s="26"/>
      <c r="BT465" s="26"/>
      <c r="BU465" s="26"/>
      <c r="BV465" s="26"/>
      <c r="BW465" s="26"/>
      <c r="BX465" s="26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K465" s="26"/>
      <c r="CL465" s="26"/>
      <c r="CM465" s="26"/>
      <c r="CN465" s="26"/>
      <c r="CO465" s="26"/>
      <c r="CP465" s="26"/>
      <c r="CQ465" s="26"/>
      <c r="CR465" s="26"/>
      <c r="CS465" s="26"/>
      <c r="CT465" s="26"/>
      <c r="CU465" s="26"/>
      <c r="CV465" s="26"/>
      <c r="CW465" s="26"/>
      <c r="CX465" s="26"/>
      <c r="CY465" s="26"/>
      <c r="CZ465" s="26"/>
      <c r="DA465" s="26"/>
      <c r="DB465" s="26"/>
      <c r="DC465" s="26"/>
      <c r="DD465" s="26"/>
    </row>
    <row r="466" spans="59:108" x14ac:dyDescent="0.2">
      <c r="BG466" s="26"/>
      <c r="BH466" s="26"/>
      <c r="BI466" s="26"/>
      <c r="BJ466" s="26"/>
      <c r="BK466" s="26"/>
      <c r="BL466" s="26"/>
      <c r="BM466" s="26"/>
      <c r="BN466" s="26"/>
      <c r="BO466" s="26"/>
      <c r="BP466" s="26"/>
      <c r="BQ466" s="26"/>
      <c r="BR466" s="26"/>
      <c r="BS466" s="26"/>
      <c r="BT466" s="26"/>
      <c r="BU466" s="26"/>
      <c r="BV466" s="26"/>
      <c r="BW466" s="26"/>
      <c r="BX466" s="26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K466" s="26"/>
      <c r="CL466" s="26"/>
      <c r="CM466" s="26"/>
      <c r="CN466" s="26"/>
      <c r="CO466" s="26"/>
      <c r="CP466" s="26"/>
      <c r="CQ466" s="26"/>
      <c r="CR466" s="26"/>
      <c r="CS466" s="26"/>
      <c r="CT466" s="26"/>
      <c r="CU466" s="26"/>
      <c r="CV466" s="26"/>
      <c r="CW466" s="26"/>
      <c r="CX466" s="26"/>
      <c r="CY466" s="26"/>
      <c r="CZ466" s="26"/>
      <c r="DA466" s="26"/>
      <c r="DB466" s="26"/>
      <c r="DC466" s="26"/>
      <c r="DD466" s="26"/>
    </row>
    <row r="467" spans="59:108" x14ac:dyDescent="0.2">
      <c r="BG467" s="26"/>
      <c r="BH467" s="26"/>
      <c r="BI467" s="26"/>
      <c r="BJ467" s="26"/>
      <c r="BK467" s="26"/>
      <c r="BL467" s="26"/>
      <c r="BM467" s="26"/>
      <c r="BN467" s="26"/>
      <c r="BO467" s="26"/>
      <c r="BP467" s="26"/>
      <c r="BQ467" s="26"/>
      <c r="BR467" s="26"/>
      <c r="BS467" s="26"/>
      <c r="BT467" s="26"/>
      <c r="BU467" s="26"/>
      <c r="BV467" s="26"/>
      <c r="BW467" s="26"/>
      <c r="BX467" s="26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K467" s="26"/>
      <c r="CL467" s="26"/>
      <c r="CM467" s="26"/>
      <c r="CN467" s="26"/>
      <c r="CO467" s="26"/>
      <c r="CP467" s="26"/>
      <c r="CQ467" s="26"/>
      <c r="CR467" s="26"/>
      <c r="CS467" s="26"/>
      <c r="CT467" s="26"/>
      <c r="CU467" s="26"/>
      <c r="CV467" s="26"/>
      <c r="CW467" s="26"/>
      <c r="CX467" s="26"/>
      <c r="CY467" s="26"/>
      <c r="CZ467" s="26"/>
      <c r="DA467" s="26"/>
      <c r="DB467" s="26"/>
      <c r="DC467" s="26"/>
      <c r="DD467" s="26"/>
    </row>
    <row r="468" spans="59:108" x14ac:dyDescent="0.2">
      <c r="BG468" s="26"/>
      <c r="BH468" s="26"/>
      <c r="BI468" s="26"/>
      <c r="BJ468" s="26"/>
      <c r="BK468" s="26"/>
      <c r="BL468" s="26"/>
      <c r="BM468" s="26"/>
      <c r="BN468" s="26"/>
      <c r="BO468" s="26"/>
      <c r="BP468" s="26"/>
      <c r="BQ468" s="26"/>
      <c r="BR468" s="26"/>
      <c r="BS468" s="26"/>
      <c r="BT468" s="26"/>
      <c r="BU468" s="26"/>
      <c r="BV468" s="26"/>
      <c r="BW468" s="26"/>
      <c r="BX468" s="26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K468" s="26"/>
      <c r="CL468" s="26"/>
      <c r="CM468" s="26"/>
      <c r="CN468" s="26"/>
      <c r="CO468" s="26"/>
      <c r="CP468" s="26"/>
      <c r="CQ468" s="26"/>
      <c r="CR468" s="26"/>
      <c r="CS468" s="26"/>
      <c r="CT468" s="26"/>
      <c r="CU468" s="26"/>
      <c r="CV468" s="26"/>
      <c r="CW468" s="26"/>
      <c r="CX468" s="26"/>
      <c r="CY468" s="26"/>
      <c r="CZ468" s="26"/>
      <c r="DA468" s="26"/>
      <c r="DB468" s="26"/>
      <c r="DC468" s="26"/>
      <c r="DD468" s="26"/>
    </row>
    <row r="469" spans="59:108" x14ac:dyDescent="0.2">
      <c r="BG469" s="26"/>
      <c r="BH469" s="26"/>
      <c r="BI469" s="26"/>
      <c r="BJ469" s="26"/>
      <c r="BK469" s="26"/>
      <c r="BL469" s="26"/>
      <c r="BM469" s="26"/>
      <c r="BN469" s="26"/>
      <c r="BO469" s="26"/>
      <c r="BP469" s="26"/>
      <c r="BQ469" s="26"/>
      <c r="BR469" s="26"/>
      <c r="BS469" s="26"/>
      <c r="BT469" s="26"/>
      <c r="BU469" s="26"/>
      <c r="BV469" s="26"/>
      <c r="BW469" s="26"/>
      <c r="BX469" s="26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K469" s="26"/>
      <c r="CL469" s="26"/>
      <c r="CM469" s="26"/>
      <c r="CN469" s="26"/>
      <c r="CO469" s="26"/>
      <c r="CP469" s="26"/>
      <c r="CQ469" s="26"/>
      <c r="CR469" s="26"/>
      <c r="CS469" s="26"/>
      <c r="CT469" s="26"/>
      <c r="CU469" s="26"/>
      <c r="CV469" s="26"/>
      <c r="CW469" s="26"/>
      <c r="CX469" s="26"/>
      <c r="CY469" s="26"/>
      <c r="CZ469" s="26"/>
      <c r="DA469" s="26"/>
      <c r="DB469" s="26"/>
      <c r="DC469" s="26"/>
      <c r="DD469" s="26"/>
    </row>
    <row r="470" spans="59:108" x14ac:dyDescent="0.2">
      <c r="BG470" s="26"/>
      <c r="BH470" s="26"/>
      <c r="BI470" s="26"/>
      <c r="BJ470" s="26"/>
      <c r="BK470" s="26"/>
      <c r="BL470" s="26"/>
      <c r="BM470" s="26"/>
      <c r="BN470" s="26"/>
      <c r="BO470" s="26"/>
      <c r="BP470" s="26"/>
      <c r="BQ470" s="26"/>
      <c r="BR470" s="26"/>
      <c r="BS470" s="26"/>
      <c r="BT470" s="26"/>
      <c r="BU470" s="26"/>
      <c r="BV470" s="26"/>
      <c r="BW470" s="26"/>
      <c r="BX470" s="26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K470" s="26"/>
      <c r="CL470" s="26"/>
      <c r="CM470" s="26"/>
      <c r="CN470" s="26"/>
      <c r="CO470" s="26"/>
      <c r="CP470" s="26"/>
      <c r="CQ470" s="26"/>
      <c r="CR470" s="26"/>
      <c r="CS470" s="26"/>
      <c r="CT470" s="26"/>
      <c r="CU470" s="26"/>
      <c r="CV470" s="26"/>
      <c r="CW470" s="26"/>
      <c r="CX470" s="26"/>
      <c r="CY470" s="26"/>
      <c r="CZ470" s="26"/>
      <c r="DA470" s="26"/>
      <c r="DB470" s="26"/>
      <c r="DC470" s="26"/>
      <c r="DD470" s="26"/>
    </row>
    <row r="471" spans="59:108" x14ac:dyDescent="0.2">
      <c r="BG471" s="26"/>
      <c r="BH471" s="26"/>
      <c r="BI471" s="26"/>
      <c r="BJ471" s="26"/>
      <c r="BK471" s="26"/>
      <c r="BL471" s="26"/>
      <c r="BM471" s="26"/>
      <c r="BN471" s="26"/>
      <c r="BO471" s="26"/>
      <c r="BP471" s="26"/>
      <c r="BQ471" s="26"/>
      <c r="BR471" s="26"/>
      <c r="BS471" s="26"/>
      <c r="BT471" s="26"/>
      <c r="BU471" s="26"/>
      <c r="BV471" s="26"/>
      <c r="BW471" s="26"/>
      <c r="BX471" s="26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K471" s="26"/>
      <c r="CL471" s="26"/>
      <c r="CM471" s="26"/>
      <c r="CN471" s="26"/>
      <c r="CO471" s="26"/>
      <c r="CP471" s="26"/>
      <c r="CQ471" s="26"/>
      <c r="CR471" s="26"/>
      <c r="CS471" s="26"/>
      <c r="CT471" s="26"/>
      <c r="CU471" s="26"/>
      <c r="CV471" s="26"/>
      <c r="CW471" s="26"/>
      <c r="CX471" s="26"/>
      <c r="CY471" s="26"/>
      <c r="CZ471" s="26"/>
      <c r="DA471" s="26"/>
      <c r="DB471" s="26"/>
      <c r="DC471" s="26"/>
      <c r="DD471" s="26"/>
    </row>
    <row r="472" spans="59:108" x14ac:dyDescent="0.2">
      <c r="BG472" s="26"/>
      <c r="BH472" s="26"/>
      <c r="BI472" s="26"/>
      <c r="BJ472" s="26"/>
      <c r="BK472" s="26"/>
      <c r="BL472" s="26"/>
      <c r="BM472" s="26"/>
      <c r="BN472" s="26"/>
      <c r="BO472" s="26"/>
      <c r="BP472" s="26"/>
      <c r="BQ472" s="26"/>
      <c r="BR472" s="26"/>
      <c r="BS472" s="26"/>
      <c r="BT472" s="26"/>
      <c r="BU472" s="26"/>
      <c r="BV472" s="26"/>
      <c r="BW472" s="26"/>
      <c r="BX472" s="26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K472" s="26"/>
      <c r="CL472" s="26"/>
      <c r="CM472" s="26"/>
      <c r="CN472" s="26"/>
      <c r="CO472" s="26"/>
      <c r="CP472" s="26"/>
      <c r="CQ472" s="26"/>
      <c r="CR472" s="26"/>
      <c r="CS472" s="26"/>
      <c r="CT472" s="26"/>
      <c r="CU472" s="26"/>
      <c r="CV472" s="26"/>
      <c r="CW472" s="26"/>
      <c r="CX472" s="26"/>
      <c r="CY472" s="26"/>
      <c r="CZ472" s="26"/>
      <c r="DA472" s="26"/>
      <c r="DB472" s="26"/>
      <c r="DC472" s="26"/>
      <c r="DD472" s="26"/>
    </row>
    <row r="473" spans="59:108" x14ac:dyDescent="0.2">
      <c r="BG473" s="26"/>
      <c r="BH473" s="26"/>
      <c r="BI473" s="26"/>
      <c r="BJ473" s="26"/>
      <c r="BK473" s="26"/>
      <c r="BL473" s="26"/>
      <c r="BM473" s="26"/>
      <c r="BN473" s="26"/>
      <c r="BO473" s="26"/>
      <c r="BP473" s="26"/>
      <c r="BQ473" s="26"/>
      <c r="BR473" s="26"/>
      <c r="BS473" s="26"/>
      <c r="BT473" s="26"/>
      <c r="BU473" s="26"/>
      <c r="BV473" s="26"/>
      <c r="BW473" s="26"/>
      <c r="BX473" s="26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K473" s="26"/>
      <c r="CL473" s="26"/>
      <c r="CM473" s="26"/>
      <c r="CN473" s="26"/>
      <c r="CO473" s="26"/>
      <c r="CP473" s="26"/>
      <c r="CQ473" s="26"/>
      <c r="CR473" s="26"/>
      <c r="CS473" s="26"/>
      <c r="CT473" s="26"/>
      <c r="CU473" s="26"/>
      <c r="CV473" s="26"/>
      <c r="CW473" s="26"/>
      <c r="CX473" s="26"/>
      <c r="CY473" s="26"/>
      <c r="CZ473" s="26"/>
      <c r="DA473" s="26"/>
      <c r="DB473" s="26"/>
      <c r="DC473" s="26"/>
      <c r="DD473" s="26"/>
    </row>
    <row r="474" spans="59:108" x14ac:dyDescent="0.2">
      <c r="BG474" s="26"/>
      <c r="BH474" s="26"/>
      <c r="BI474" s="26"/>
      <c r="BJ474" s="26"/>
      <c r="BK474" s="26"/>
      <c r="BL474" s="26"/>
      <c r="BM474" s="26"/>
      <c r="BN474" s="26"/>
      <c r="BO474" s="26"/>
      <c r="BP474" s="26"/>
      <c r="BQ474" s="26"/>
      <c r="BR474" s="26"/>
      <c r="BS474" s="26"/>
      <c r="BT474" s="26"/>
      <c r="BU474" s="26"/>
      <c r="BV474" s="26"/>
      <c r="BW474" s="26"/>
      <c r="BX474" s="26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K474" s="26"/>
      <c r="CL474" s="26"/>
      <c r="CM474" s="26"/>
      <c r="CN474" s="26"/>
      <c r="CO474" s="26"/>
      <c r="CP474" s="26"/>
      <c r="CQ474" s="26"/>
      <c r="CR474" s="26"/>
      <c r="CS474" s="26"/>
      <c r="CT474" s="26"/>
      <c r="CU474" s="26"/>
      <c r="CV474" s="26"/>
      <c r="CW474" s="26"/>
      <c r="CX474" s="26"/>
      <c r="CY474" s="26"/>
      <c r="CZ474" s="26"/>
      <c r="DA474" s="26"/>
      <c r="DB474" s="26"/>
      <c r="DC474" s="26"/>
      <c r="DD474" s="26"/>
    </row>
    <row r="475" spans="59:108" x14ac:dyDescent="0.2">
      <c r="BG475" s="26"/>
      <c r="BH475" s="26"/>
      <c r="BI475" s="26"/>
      <c r="BJ475" s="26"/>
      <c r="BK475" s="26"/>
      <c r="BL475" s="26"/>
      <c r="BM475" s="26"/>
      <c r="BN475" s="26"/>
      <c r="BO475" s="26"/>
      <c r="BP475" s="26"/>
      <c r="BQ475" s="26"/>
      <c r="BR475" s="26"/>
      <c r="BS475" s="26"/>
      <c r="BT475" s="26"/>
      <c r="BU475" s="26"/>
      <c r="BV475" s="26"/>
      <c r="BW475" s="26"/>
      <c r="BX475" s="26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K475" s="26"/>
      <c r="CL475" s="26"/>
      <c r="CM475" s="26"/>
      <c r="CN475" s="26"/>
      <c r="CO475" s="26"/>
      <c r="CP475" s="26"/>
      <c r="CQ475" s="26"/>
      <c r="CR475" s="26"/>
      <c r="CS475" s="26"/>
      <c r="CT475" s="26"/>
      <c r="CU475" s="26"/>
      <c r="CV475" s="26"/>
      <c r="CW475" s="26"/>
      <c r="CX475" s="26"/>
      <c r="CY475" s="26"/>
      <c r="CZ475" s="26"/>
      <c r="DA475" s="26"/>
      <c r="DB475" s="26"/>
      <c r="DC475" s="26"/>
      <c r="DD475" s="26"/>
    </row>
    <row r="476" spans="59:108" x14ac:dyDescent="0.2">
      <c r="BG476" s="26"/>
      <c r="BH476" s="26"/>
      <c r="BI476" s="26"/>
      <c r="BJ476" s="26"/>
      <c r="BK476" s="26"/>
      <c r="BL476" s="26"/>
      <c r="BM476" s="26"/>
      <c r="BN476" s="26"/>
      <c r="BO476" s="26"/>
      <c r="BP476" s="26"/>
      <c r="BQ476" s="26"/>
      <c r="BR476" s="26"/>
      <c r="BS476" s="26"/>
      <c r="BT476" s="26"/>
      <c r="BU476" s="26"/>
      <c r="BV476" s="26"/>
      <c r="BW476" s="26"/>
      <c r="BX476" s="26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K476" s="26"/>
      <c r="CL476" s="26"/>
      <c r="CM476" s="26"/>
      <c r="CN476" s="26"/>
      <c r="CO476" s="26"/>
      <c r="CP476" s="26"/>
      <c r="CQ476" s="26"/>
      <c r="CR476" s="26"/>
      <c r="CS476" s="26"/>
      <c r="CT476" s="26"/>
      <c r="CU476" s="26"/>
      <c r="CV476" s="26"/>
      <c r="CW476" s="26"/>
      <c r="CX476" s="26"/>
      <c r="CY476" s="26"/>
      <c r="CZ476" s="26"/>
      <c r="DA476" s="26"/>
      <c r="DB476" s="26"/>
      <c r="DC476" s="26"/>
      <c r="DD476" s="26"/>
    </row>
    <row r="477" spans="59:108" x14ac:dyDescent="0.2">
      <c r="BG477" s="26"/>
      <c r="BH477" s="26"/>
      <c r="BI477" s="26"/>
      <c r="BJ477" s="26"/>
      <c r="BK477" s="26"/>
      <c r="BL477" s="26"/>
      <c r="BM477" s="26"/>
      <c r="BN477" s="26"/>
      <c r="BO477" s="26"/>
      <c r="BP477" s="26"/>
      <c r="BQ477" s="26"/>
      <c r="BR477" s="26"/>
      <c r="BS477" s="26"/>
      <c r="BT477" s="26"/>
      <c r="BU477" s="26"/>
      <c r="BV477" s="26"/>
      <c r="BW477" s="26"/>
      <c r="BX477" s="26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K477" s="26"/>
      <c r="CL477" s="26"/>
      <c r="CM477" s="26"/>
      <c r="CN477" s="26"/>
      <c r="CO477" s="26"/>
      <c r="CP477" s="26"/>
      <c r="CQ477" s="26"/>
      <c r="CR477" s="26"/>
      <c r="CS477" s="26"/>
      <c r="CT477" s="26"/>
      <c r="CU477" s="26"/>
      <c r="CV477" s="26"/>
      <c r="CW477" s="26"/>
      <c r="CX477" s="26"/>
      <c r="CY477" s="26"/>
      <c r="CZ477" s="26"/>
      <c r="DA477" s="26"/>
      <c r="DB477" s="26"/>
      <c r="DC477" s="26"/>
      <c r="DD477" s="26"/>
    </row>
    <row r="478" spans="59:108" x14ac:dyDescent="0.2">
      <c r="BG478" s="26"/>
      <c r="BH478" s="26"/>
      <c r="BI478" s="26"/>
      <c r="BJ478" s="26"/>
      <c r="BK478" s="26"/>
      <c r="BL478" s="26"/>
      <c r="BM478" s="26"/>
      <c r="BN478" s="26"/>
      <c r="BO478" s="26"/>
      <c r="BP478" s="26"/>
      <c r="BQ478" s="26"/>
      <c r="BR478" s="26"/>
      <c r="BS478" s="26"/>
      <c r="BT478" s="26"/>
      <c r="BU478" s="26"/>
      <c r="BV478" s="26"/>
      <c r="BW478" s="26"/>
      <c r="BX478" s="26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K478" s="26"/>
      <c r="CL478" s="26"/>
      <c r="CM478" s="26"/>
      <c r="CN478" s="26"/>
      <c r="CO478" s="26"/>
      <c r="CP478" s="26"/>
      <c r="CQ478" s="26"/>
      <c r="CR478" s="26"/>
      <c r="CS478" s="26"/>
      <c r="CT478" s="26"/>
      <c r="CU478" s="26"/>
      <c r="CV478" s="26"/>
      <c r="CW478" s="26"/>
      <c r="CX478" s="26"/>
      <c r="CY478" s="26"/>
      <c r="CZ478" s="26"/>
      <c r="DA478" s="26"/>
      <c r="DB478" s="26"/>
      <c r="DC478" s="26"/>
      <c r="DD478" s="26"/>
    </row>
    <row r="479" spans="59:108" x14ac:dyDescent="0.2">
      <c r="BG479" s="26"/>
      <c r="BH479" s="26"/>
      <c r="BI479" s="26"/>
      <c r="BJ479" s="26"/>
      <c r="BK479" s="26"/>
      <c r="BL479" s="26"/>
      <c r="BM479" s="26"/>
      <c r="BN479" s="26"/>
      <c r="BO479" s="26"/>
      <c r="BP479" s="26"/>
      <c r="BQ479" s="26"/>
      <c r="BR479" s="26"/>
      <c r="BS479" s="26"/>
      <c r="BT479" s="26"/>
      <c r="BU479" s="26"/>
      <c r="BV479" s="26"/>
      <c r="BW479" s="26"/>
      <c r="BX479" s="26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K479" s="26"/>
      <c r="CL479" s="26"/>
      <c r="CM479" s="26"/>
      <c r="CN479" s="26"/>
      <c r="CO479" s="26"/>
      <c r="CP479" s="26"/>
      <c r="CQ479" s="26"/>
      <c r="CR479" s="26"/>
      <c r="CS479" s="26"/>
      <c r="CT479" s="26"/>
      <c r="CU479" s="26"/>
      <c r="CV479" s="26"/>
      <c r="CW479" s="26"/>
      <c r="CX479" s="26"/>
      <c r="CY479" s="26"/>
      <c r="CZ479" s="26"/>
      <c r="DA479" s="26"/>
      <c r="DB479" s="26"/>
      <c r="DC479" s="26"/>
      <c r="DD479" s="26"/>
    </row>
    <row r="480" spans="59:108" x14ac:dyDescent="0.2">
      <c r="BG480" s="26"/>
      <c r="BH480" s="26"/>
      <c r="BI480" s="26"/>
      <c r="BJ480" s="26"/>
      <c r="BK480" s="26"/>
      <c r="BL480" s="26"/>
      <c r="BM480" s="26"/>
      <c r="BN480" s="26"/>
      <c r="BO480" s="26"/>
      <c r="BP480" s="26"/>
      <c r="BQ480" s="26"/>
      <c r="BR480" s="26"/>
      <c r="BS480" s="26"/>
      <c r="BT480" s="26"/>
      <c r="BU480" s="26"/>
      <c r="BV480" s="26"/>
      <c r="BW480" s="26"/>
      <c r="BX480" s="26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K480" s="26"/>
      <c r="CL480" s="26"/>
      <c r="CM480" s="26"/>
      <c r="CN480" s="26"/>
      <c r="CO480" s="26"/>
      <c r="CP480" s="26"/>
      <c r="CQ480" s="26"/>
      <c r="CR480" s="26"/>
      <c r="CS480" s="26"/>
      <c r="CT480" s="26"/>
      <c r="CU480" s="26"/>
      <c r="CV480" s="26"/>
      <c r="CW480" s="26"/>
      <c r="CX480" s="26"/>
      <c r="CY480" s="26"/>
      <c r="CZ480" s="26"/>
      <c r="DA480" s="26"/>
      <c r="DB480" s="26"/>
      <c r="DC480" s="26"/>
      <c r="DD480" s="26"/>
    </row>
    <row r="481" spans="59:108" x14ac:dyDescent="0.2">
      <c r="BG481" s="26"/>
      <c r="BH481" s="26"/>
      <c r="BI481" s="26"/>
      <c r="BJ481" s="26"/>
      <c r="BK481" s="26"/>
      <c r="BL481" s="26"/>
      <c r="BM481" s="26"/>
      <c r="BN481" s="26"/>
      <c r="BO481" s="26"/>
      <c r="BP481" s="26"/>
      <c r="BQ481" s="26"/>
      <c r="BR481" s="26"/>
      <c r="BS481" s="26"/>
      <c r="BT481" s="26"/>
      <c r="BU481" s="26"/>
      <c r="BV481" s="26"/>
      <c r="BW481" s="26"/>
      <c r="BX481" s="26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K481" s="26"/>
      <c r="CL481" s="26"/>
      <c r="CM481" s="26"/>
      <c r="CN481" s="26"/>
      <c r="CO481" s="26"/>
      <c r="CP481" s="26"/>
      <c r="CQ481" s="26"/>
      <c r="CR481" s="26"/>
      <c r="CS481" s="26"/>
      <c r="CT481" s="26"/>
      <c r="CU481" s="26"/>
      <c r="CV481" s="26"/>
      <c r="CW481" s="26"/>
      <c r="CX481" s="26"/>
      <c r="CY481" s="26"/>
      <c r="CZ481" s="26"/>
      <c r="DA481" s="26"/>
      <c r="DB481" s="26"/>
      <c r="DC481" s="26"/>
      <c r="DD481" s="26"/>
    </row>
    <row r="482" spans="59:108" x14ac:dyDescent="0.2">
      <c r="BG482" s="26"/>
      <c r="BH482" s="26"/>
      <c r="BI482" s="26"/>
      <c r="BJ482" s="26"/>
      <c r="BK482" s="26"/>
      <c r="BL482" s="26"/>
      <c r="BM482" s="26"/>
      <c r="BN482" s="26"/>
      <c r="BO482" s="26"/>
      <c r="BP482" s="26"/>
      <c r="BQ482" s="26"/>
      <c r="BR482" s="26"/>
      <c r="BS482" s="26"/>
      <c r="BT482" s="26"/>
      <c r="BU482" s="26"/>
      <c r="BV482" s="26"/>
      <c r="BW482" s="26"/>
      <c r="BX482" s="26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K482" s="26"/>
      <c r="CL482" s="26"/>
      <c r="CM482" s="26"/>
      <c r="CN482" s="26"/>
      <c r="CO482" s="26"/>
      <c r="CP482" s="26"/>
      <c r="CQ482" s="26"/>
      <c r="CR482" s="26"/>
      <c r="CS482" s="26"/>
      <c r="CT482" s="26"/>
      <c r="CU482" s="26"/>
      <c r="CV482" s="26"/>
      <c r="CW482" s="26"/>
      <c r="CX482" s="26"/>
      <c r="CY482" s="26"/>
      <c r="CZ482" s="26"/>
      <c r="DA482" s="26"/>
      <c r="DB482" s="26"/>
      <c r="DC482" s="26"/>
      <c r="DD482" s="26"/>
    </row>
    <row r="483" spans="59:108" x14ac:dyDescent="0.2">
      <c r="BG483" s="26"/>
      <c r="BH483" s="26"/>
      <c r="BI483" s="26"/>
      <c r="BJ483" s="26"/>
      <c r="BK483" s="26"/>
      <c r="BL483" s="26"/>
      <c r="BM483" s="26"/>
      <c r="BN483" s="26"/>
      <c r="BO483" s="26"/>
      <c r="BP483" s="26"/>
      <c r="BQ483" s="26"/>
      <c r="BR483" s="26"/>
      <c r="BS483" s="26"/>
      <c r="BT483" s="26"/>
      <c r="BU483" s="26"/>
      <c r="BV483" s="26"/>
      <c r="BW483" s="26"/>
      <c r="BX483" s="26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K483" s="26"/>
      <c r="CL483" s="26"/>
      <c r="CM483" s="26"/>
      <c r="CN483" s="26"/>
      <c r="CO483" s="26"/>
      <c r="CP483" s="26"/>
      <c r="CQ483" s="26"/>
      <c r="CR483" s="26"/>
      <c r="CS483" s="26"/>
      <c r="CT483" s="26"/>
      <c r="CU483" s="26"/>
      <c r="CV483" s="26"/>
      <c r="CW483" s="26"/>
      <c r="CX483" s="26"/>
      <c r="CY483" s="26"/>
      <c r="CZ483" s="26"/>
      <c r="DA483" s="26"/>
      <c r="DB483" s="26"/>
      <c r="DC483" s="26"/>
      <c r="DD483" s="26"/>
    </row>
    <row r="484" spans="59:108" x14ac:dyDescent="0.2">
      <c r="BG484" s="26"/>
      <c r="BH484" s="26"/>
      <c r="BI484" s="26"/>
      <c r="BJ484" s="26"/>
      <c r="BK484" s="26"/>
      <c r="BL484" s="26"/>
      <c r="BM484" s="26"/>
      <c r="BN484" s="26"/>
      <c r="BO484" s="26"/>
      <c r="BP484" s="26"/>
      <c r="BQ484" s="26"/>
      <c r="BR484" s="26"/>
      <c r="BS484" s="26"/>
      <c r="BT484" s="26"/>
      <c r="BU484" s="26"/>
      <c r="BV484" s="26"/>
      <c r="BW484" s="26"/>
      <c r="BX484" s="26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K484" s="26"/>
      <c r="CL484" s="26"/>
      <c r="CM484" s="26"/>
      <c r="CN484" s="26"/>
      <c r="CO484" s="26"/>
      <c r="CP484" s="26"/>
      <c r="CQ484" s="26"/>
      <c r="CR484" s="26"/>
      <c r="CS484" s="26"/>
      <c r="CT484" s="26"/>
      <c r="CU484" s="26"/>
      <c r="CV484" s="26"/>
      <c r="CW484" s="26"/>
      <c r="CX484" s="26"/>
      <c r="CY484" s="26"/>
      <c r="CZ484" s="26"/>
      <c r="DA484" s="26"/>
      <c r="DB484" s="26"/>
      <c r="DC484" s="26"/>
      <c r="DD484" s="26"/>
    </row>
    <row r="485" spans="59:108" x14ac:dyDescent="0.2">
      <c r="BG485" s="26"/>
      <c r="BH485" s="26"/>
      <c r="BI485" s="26"/>
      <c r="BJ485" s="26"/>
      <c r="BK485" s="26"/>
      <c r="BL485" s="26"/>
      <c r="BM485" s="26"/>
      <c r="BN485" s="26"/>
      <c r="BO485" s="26"/>
      <c r="BP485" s="26"/>
      <c r="BQ485" s="26"/>
      <c r="BR485" s="26"/>
      <c r="BS485" s="26"/>
      <c r="BT485" s="26"/>
      <c r="BU485" s="26"/>
      <c r="BV485" s="26"/>
      <c r="BW485" s="26"/>
      <c r="BX485" s="26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K485" s="26"/>
      <c r="CL485" s="26"/>
      <c r="CM485" s="26"/>
      <c r="CN485" s="26"/>
      <c r="CO485" s="26"/>
      <c r="CP485" s="26"/>
      <c r="CQ485" s="26"/>
      <c r="CR485" s="26"/>
      <c r="CS485" s="26"/>
      <c r="CT485" s="26"/>
      <c r="CU485" s="26"/>
      <c r="CV485" s="26"/>
      <c r="CW485" s="26"/>
      <c r="CX485" s="26"/>
      <c r="CY485" s="26"/>
      <c r="CZ485" s="26"/>
      <c r="DA485" s="26"/>
      <c r="DB485" s="26"/>
      <c r="DC485" s="26"/>
      <c r="DD485" s="26"/>
    </row>
    <row r="486" spans="59:108" x14ac:dyDescent="0.2">
      <c r="BG486" s="26"/>
      <c r="BH486" s="26"/>
      <c r="BI486" s="26"/>
      <c r="BJ486" s="26"/>
      <c r="BK486" s="26"/>
      <c r="BL486" s="26"/>
      <c r="BM486" s="26"/>
      <c r="BN486" s="26"/>
      <c r="BO486" s="26"/>
      <c r="BP486" s="26"/>
      <c r="BQ486" s="26"/>
      <c r="BR486" s="26"/>
      <c r="BS486" s="26"/>
      <c r="BT486" s="26"/>
      <c r="BU486" s="26"/>
      <c r="BV486" s="26"/>
      <c r="BW486" s="26"/>
      <c r="BX486" s="26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K486" s="26"/>
      <c r="CL486" s="26"/>
      <c r="CM486" s="26"/>
      <c r="CN486" s="26"/>
      <c r="CO486" s="26"/>
      <c r="CP486" s="26"/>
      <c r="CQ486" s="26"/>
      <c r="CR486" s="26"/>
      <c r="CS486" s="26"/>
      <c r="CT486" s="26"/>
      <c r="CU486" s="26"/>
      <c r="CV486" s="26"/>
      <c r="CW486" s="26"/>
      <c r="CX486" s="26"/>
      <c r="CY486" s="26"/>
      <c r="CZ486" s="26"/>
      <c r="DA486" s="26"/>
      <c r="DB486" s="26"/>
      <c r="DC486" s="26"/>
      <c r="DD486" s="26"/>
    </row>
    <row r="487" spans="59:108" x14ac:dyDescent="0.2">
      <c r="BG487" s="26"/>
      <c r="BH487" s="26"/>
      <c r="BI487" s="26"/>
      <c r="BJ487" s="26"/>
      <c r="BK487" s="26"/>
      <c r="BL487" s="26"/>
      <c r="BM487" s="26"/>
      <c r="BN487" s="26"/>
      <c r="BO487" s="26"/>
      <c r="BP487" s="26"/>
      <c r="BQ487" s="26"/>
      <c r="BR487" s="26"/>
      <c r="BS487" s="26"/>
      <c r="BT487" s="26"/>
      <c r="BU487" s="26"/>
      <c r="BV487" s="26"/>
      <c r="BW487" s="26"/>
      <c r="BX487" s="26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K487" s="26"/>
      <c r="CL487" s="26"/>
      <c r="CM487" s="26"/>
      <c r="CN487" s="26"/>
      <c r="CO487" s="26"/>
      <c r="CP487" s="26"/>
      <c r="CQ487" s="26"/>
      <c r="CR487" s="26"/>
      <c r="CS487" s="26"/>
      <c r="CT487" s="26"/>
      <c r="CU487" s="26"/>
      <c r="CV487" s="26"/>
      <c r="CW487" s="26"/>
      <c r="CX487" s="26"/>
      <c r="CY487" s="26"/>
      <c r="CZ487" s="26"/>
      <c r="DA487" s="26"/>
      <c r="DB487" s="26"/>
      <c r="DC487" s="26"/>
      <c r="DD487" s="26"/>
    </row>
    <row r="488" spans="59:108" x14ac:dyDescent="0.2">
      <c r="BG488" s="26"/>
      <c r="BH488" s="26"/>
      <c r="BI488" s="26"/>
      <c r="BJ488" s="26"/>
      <c r="BK488" s="26"/>
      <c r="BL488" s="26"/>
      <c r="BM488" s="26"/>
      <c r="BN488" s="26"/>
      <c r="BO488" s="26"/>
      <c r="BP488" s="26"/>
      <c r="BQ488" s="26"/>
      <c r="BR488" s="26"/>
      <c r="BS488" s="26"/>
      <c r="BT488" s="26"/>
      <c r="BU488" s="26"/>
      <c r="BV488" s="26"/>
      <c r="BW488" s="26"/>
      <c r="BX488" s="26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K488" s="26"/>
      <c r="CL488" s="26"/>
      <c r="CM488" s="26"/>
      <c r="CN488" s="26"/>
      <c r="CO488" s="26"/>
      <c r="CP488" s="26"/>
      <c r="CQ488" s="26"/>
      <c r="CR488" s="26"/>
      <c r="CS488" s="26"/>
      <c r="CT488" s="26"/>
      <c r="CU488" s="26"/>
      <c r="CV488" s="26"/>
      <c r="CW488" s="26"/>
      <c r="CX488" s="26"/>
      <c r="CY488" s="26"/>
      <c r="CZ488" s="26"/>
      <c r="DA488" s="26"/>
      <c r="DB488" s="26"/>
      <c r="DC488" s="26"/>
      <c r="DD488" s="26"/>
    </row>
    <row r="489" spans="59:108" x14ac:dyDescent="0.2">
      <c r="BG489" s="26"/>
      <c r="BH489" s="26"/>
      <c r="BI489" s="26"/>
      <c r="BJ489" s="26"/>
      <c r="BK489" s="26"/>
      <c r="BL489" s="26"/>
      <c r="BM489" s="26"/>
      <c r="BN489" s="26"/>
      <c r="BO489" s="26"/>
      <c r="BP489" s="26"/>
      <c r="BQ489" s="26"/>
      <c r="BR489" s="26"/>
      <c r="BS489" s="26"/>
      <c r="BT489" s="26"/>
      <c r="BU489" s="26"/>
      <c r="BV489" s="26"/>
      <c r="BW489" s="26"/>
      <c r="BX489" s="26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K489" s="26"/>
      <c r="CL489" s="26"/>
      <c r="CM489" s="26"/>
      <c r="CN489" s="26"/>
      <c r="CO489" s="26"/>
      <c r="CP489" s="26"/>
      <c r="CQ489" s="26"/>
      <c r="CR489" s="26"/>
      <c r="CS489" s="26"/>
      <c r="CT489" s="26"/>
      <c r="CU489" s="26"/>
      <c r="CV489" s="26"/>
      <c r="CW489" s="26"/>
      <c r="CX489" s="26"/>
      <c r="CY489" s="26"/>
      <c r="CZ489" s="26"/>
      <c r="DA489" s="26"/>
      <c r="DB489" s="26"/>
      <c r="DC489" s="26"/>
      <c r="DD489" s="26"/>
    </row>
    <row r="490" spans="59:108" x14ac:dyDescent="0.2">
      <c r="BG490" s="26"/>
      <c r="BH490" s="26"/>
      <c r="BI490" s="26"/>
      <c r="BJ490" s="26"/>
      <c r="BK490" s="26"/>
      <c r="BL490" s="26"/>
      <c r="BM490" s="26"/>
      <c r="BN490" s="26"/>
      <c r="BO490" s="26"/>
      <c r="BP490" s="26"/>
      <c r="BQ490" s="26"/>
      <c r="BR490" s="26"/>
      <c r="BS490" s="26"/>
      <c r="BT490" s="26"/>
      <c r="BU490" s="26"/>
      <c r="BV490" s="26"/>
      <c r="BW490" s="26"/>
      <c r="BX490" s="26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K490" s="26"/>
      <c r="CL490" s="26"/>
      <c r="CM490" s="26"/>
      <c r="CN490" s="26"/>
      <c r="CO490" s="26"/>
      <c r="CP490" s="26"/>
      <c r="CQ490" s="26"/>
      <c r="CR490" s="26"/>
      <c r="CS490" s="26"/>
      <c r="CT490" s="26"/>
      <c r="CU490" s="26"/>
      <c r="CV490" s="26"/>
      <c r="CW490" s="26"/>
      <c r="CX490" s="26"/>
      <c r="CY490" s="26"/>
      <c r="CZ490" s="26"/>
      <c r="DA490" s="26"/>
      <c r="DB490" s="26"/>
      <c r="DC490" s="26"/>
      <c r="DD490" s="26"/>
    </row>
    <row r="491" spans="59:108" x14ac:dyDescent="0.2">
      <c r="BG491" s="26"/>
      <c r="BH491" s="26"/>
      <c r="BI491" s="26"/>
      <c r="BJ491" s="26"/>
      <c r="BK491" s="26"/>
      <c r="BL491" s="26"/>
      <c r="BM491" s="26"/>
      <c r="BN491" s="26"/>
      <c r="BO491" s="26"/>
      <c r="BP491" s="26"/>
      <c r="BQ491" s="26"/>
      <c r="BR491" s="26"/>
      <c r="BS491" s="26"/>
      <c r="BT491" s="26"/>
      <c r="BU491" s="26"/>
      <c r="BV491" s="26"/>
      <c r="BW491" s="26"/>
      <c r="BX491" s="26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K491" s="26"/>
      <c r="CL491" s="26"/>
      <c r="CM491" s="26"/>
      <c r="CN491" s="26"/>
      <c r="CO491" s="26"/>
      <c r="CP491" s="26"/>
      <c r="CQ491" s="26"/>
      <c r="CR491" s="26"/>
      <c r="CS491" s="26"/>
      <c r="CT491" s="26"/>
      <c r="CU491" s="26"/>
      <c r="CV491" s="26"/>
      <c r="CW491" s="26"/>
      <c r="CX491" s="26"/>
      <c r="CY491" s="26"/>
      <c r="CZ491" s="26"/>
      <c r="DA491" s="26"/>
      <c r="DB491" s="26"/>
      <c r="DC491" s="26"/>
      <c r="DD491" s="26"/>
    </row>
    <row r="492" spans="59:108" x14ac:dyDescent="0.2">
      <c r="BG492" s="26"/>
      <c r="BH492" s="26"/>
      <c r="BI492" s="26"/>
      <c r="BJ492" s="26"/>
      <c r="BK492" s="26"/>
      <c r="BL492" s="26"/>
      <c r="BM492" s="26"/>
      <c r="BN492" s="26"/>
      <c r="BO492" s="26"/>
      <c r="BP492" s="26"/>
      <c r="BQ492" s="26"/>
      <c r="BR492" s="26"/>
      <c r="BS492" s="26"/>
      <c r="BT492" s="26"/>
      <c r="BU492" s="26"/>
      <c r="BV492" s="26"/>
      <c r="BW492" s="26"/>
      <c r="BX492" s="26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K492" s="26"/>
      <c r="CL492" s="26"/>
      <c r="CM492" s="26"/>
      <c r="CN492" s="26"/>
      <c r="CO492" s="26"/>
      <c r="CP492" s="26"/>
      <c r="CQ492" s="26"/>
      <c r="CR492" s="26"/>
      <c r="CS492" s="26"/>
      <c r="CT492" s="26"/>
      <c r="CU492" s="26"/>
      <c r="CV492" s="26"/>
      <c r="CW492" s="26"/>
      <c r="CX492" s="26"/>
      <c r="CY492" s="26"/>
      <c r="CZ492" s="26"/>
      <c r="DA492" s="26"/>
      <c r="DB492" s="26"/>
      <c r="DC492" s="26"/>
      <c r="DD492" s="26"/>
    </row>
    <row r="493" spans="59:108" x14ac:dyDescent="0.2">
      <c r="BG493" s="26"/>
      <c r="BH493" s="26"/>
      <c r="BI493" s="26"/>
      <c r="BJ493" s="26"/>
      <c r="BK493" s="26"/>
      <c r="BL493" s="26"/>
      <c r="BM493" s="26"/>
      <c r="BN493" s="26"/>
      <c r="BO493" s="26"/>
      <c r="BP493" s="26"/>
      <c r="BQ493" s="26"/>
      <c r="BR493" s="26"/>
      <c r="BS493" s="26"/>
      <c r="BT493" s="26"/>
      <c r="BU493" s="26"/>
      <c r="BV493" s="26"/>
      <c r="BW493" s="26"/>
      <c r="BX493" s="26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K493" s="26"/>
      <c r="CL493" s="26"/>
      <c r="CM493" s="26"/>
      <c r="CN493" s="26"/>
      <c r="CO493" s="26"/>
      <c r="CP493" s="26"/>
      <c r="CQ493" s="26"/>
      <c r="CR493" s="26"/>
      <c r="CS493" s="26"/>
      <c r="CT493" s="26"/>
      <c r="CU493" s="26"/>
      <c r="CV493" s="26"/>
      <c r="CW493" s="26"/>
      <c r="CX493" s="26"/>
      <c r="CY493" s="26"/>
      <c r="CZ493" s="26"/>
      <c r="DA493" s="26"/>
      <c r="DB493" s="26"/>
      <c r="DC493" s="26"/>
      <c r="DD493" s="26"/>
    </row>
    <row r="494" spans="59:108" x14ac:dyDescent="0.2">
      <c r="BG494" s="26"/>
      <c r="BH494" s="26"/>
      <c r="BI494" s="26"/>
      <c r="BJ494" s="26"/>
      <c r="BK494" s="26"/>
      <c r="BL494" s="26"/>
      <c r="BM494" s="26"/>
      <c r="BN494" s="26"/>
      <c r="BO494" s="26"/>
      <c r="BP494" s="26"/>
      <c r="BQ494" s="26"/>
      <c r="BR494" s="26"/>
      <c r="BS494" s="26"/>
      <c r="BT494" s="26"/>
      <c r="BU494" s="26"/>
      <c r="BV494" s="26"/>
      <c r="BW494" s="26"/>
      <c r="BX494" s="26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K494" s="26"/>
      <c r="CL494" s="26"/>
      <c r="CM494" s="26"/>
      <c r="CN494" s="26"/>
      <c r="CO494" s="26"/>
      <c r="CP494" s="26"/>
      <c r="CQ494" s="26"/>
      <c r="CR494" s="26"/>
      <c r="CS494" s="26"/>
      <c r="CT494" s="26"/>
      <c r="CU494" s="26"/>
      <c r="CV494" s="26"/>
      <c r="CW494" s="26"/>
      <c r="CX494" s="26"/>
      <c r="CY494" s="26"/>
      <c r="CZ494" s="26"/>
      <c r="DA494" s="26"/>
      <c r="DB494" s="26"/>
      <c r="DC494" s="26"/>
      <c r="DD494" s="26"/>
    </row>
    <row r="495" spans="59:108" x14ac:dyDescent="0.2">
      <c r="BG495" s="26"/>
      <c r="BH495" s="26"/>
      <c r="BI495" s="26"/>
      <c r="BJ495" s="26"/>
      <c r="BK495" s="26"/>
      <c r="BL495" s="26"/>
      <c r="BM495" s="26"/>
      <c r="BN495" s="26"/>
      <c r="BO495" s="26"/>
      <c r="BP495" s="26"/>
      <c r="BQ495" s="26"/>
      <c r="BR495" s="26"/>
      <c r="BS495" s="26"/>
      <c r="BT495" s="26"/>
      <c r="BU495" s="26"/>
      <c r="BV495" s="26"/>
      <c r="BW495" s="26"/>
      <c r="BX495" s="26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K495" s="26"/>
      <c r="CL495" s="26"/>
      <c r="CM495" s="26"/>
      <c r="CN495" s="26"/>
      <c r="CO495" s="26"/>
      <c r="CP495" s="26"/>
      <c r="CQ495" s="26"/>
      <c r="CR495" s="26"/>
      <c r="CS495" s="26"/>
      <c r="CT495" s="26"/>
      <c r="CU495" s="26"/>
      <c r="CV495" s="26"/>
      <c r="CW495" s="26"/>
      <c r="CX495" s="26"/>
      <c r="CY495" s="26"/>
      <c r="CZ495" s="26"/>
      <c r="DA495" s="26"/>
      <c r="DB495" s="26"/>
      <c r="DC495" s="26"/>
      <c r="DD495" s="26"/>
    </row>
    <row r="496" spans="59:108" x14ac:dyDescent="0.2">
      <c r="BG496" s="26"/>
      <c r="BH496" s="26"/>
      <c r="BI496" s="26"/>
      <c r="BJ496" s="26"/>
      <c r="BK496" s="26"/>
      <c r="BL496" s="26"/>
      <c r="BM496" s="26"/>
      <c r="BN496" s="26"/>
      <c r="BO496" s="26"/>
      <c r="BP496" s="26"/>
      <c r="BQ496" s="26"/>
      <c r="BR496" s="26"/>
      <c r="BS496" s="26"/>
      <c r="BT496" s="26"/>
      <c r="BU496" s="26"/>
      <c r="BV496" s="26"/>
      <c r="BW496" s="26"/>
      <c r="BX496" s="26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K496" s="26"/>
      <c r="CL496" s="26"/>
      <c r="CM496" s="26"/>
      <c r="CN496" s="26"/>
      <c r="CO496" s="26"/>
      <c r="CP496" s="26"/>
      <c r="CQ496" s="26"/>
      <c r="CR496" s="26"/>
      <c r="CS496" s="26"/>
      <c r="CT496" s="26"/>
      <c r="CU496" s="26"/>
      <c r="CV496" s="26"/>
      <c r="CW496" s="26"/>
      <c r="CX496" s="26"/>
      <c r="CY496" s="26"/>
      <c r="CZ496" s="26"/>
      <c r="DA496" s="26"/>
      <c r="DB496" s="26"/>
      <c r="DC496" s="26"/>
      <c r="DD496" s="26"/>
    </row>
    <row r="497" spans="59:108" x14ac:dyDescent="0.2">
      <c r="BG497" s="26"/>
      <c r="BH497" s="26"/>
      <c r="BI497" s="26"/>
      <c r="BJ497" s="26"/>
      <c r="BK497" s="26"/>
      <c r="BL497" s="26"/>
      <c r="BM497" s="26"/>
      <c r="BN497" s="26"/>
      <c r="BO497" s="26"/>
      <c r="BP497" s="26"/>
      <c r="BQ497" s="26"/>
      <c r="BR497" s="26"/>
      <c r="BS497" s="26"/>
      <c r="BT497" s="26"/>
      <c r="BU497" s="26"/>
      <c r="BV497" s="26"/>
      <c r="BW497" s="26"/>
      <c r="BX497" s="26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K497" s="26"/>
      <c r="CL497" s="26"/>
      <c r="CM497" s="26"/>
      <c r="CN497" s="26"/>
      <c r="CO497" s="26"/>
      <c r="CP497" s="26"/>
      <c r="CQ497" s="26"/>
      <c r="CR497" s="26"/>
      <c r="CS497" s="26"/>
      <c r="CT497" s="26"/>
      <c r="CU497" s="26"/>
      <c r="CV497" s="26"/>
      <c r="CW497" s="26"/>
      <c r="CX497" s="26"/>
      <c r="CY497" s="26"/>
      <c r="CZ497" s="26"/>
      <c r="DA497" s="26"/>
      <c r="DB497" s="26"/>
      <c r="DC497" s="26"/>
      <c r="DD497" s="26"/>
    </row>
    <row r="498" spans="59:108" x14ac:dyDescent="0.2">
      <c r="BG498" s="26"/>
      <c r="BH498" s="26"/>
      <c r="BI498" s="26"/>
      <c r="BJ498" s="26"/>
      <c r="BK498" s="26"/>
      <c r="BL498" s="26"/>
      <c r="BM498" s="26"/>
      <c r="BN498" s="26"/>
      <c r="BO498" s="26"/>
      <c r="BP498" s="26"/>
      <c r="BQ498" s="26"/>
      <c r="BR498" s="26"/>
      <c r="BS498" s="26"/>
      <c r="BT498" s="26"/>
      <c r="BU498" s="26"/>
      <c r="BV498" s="26"/>
      <c r="BW498" s="26"/>
      <c r="BX498" s="26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K498" s="26"/>
      <c r="CL498" s="26"/>
      <c r="CM498" s="26"/>
      <c r="CN498" s="26"/>
      <c r="CO498" s="26"/>
      <c r="CP498" s="26"/>
      <c r="CQ498" s="26"/>
      <c r="CR498" s="26"/>
      <c r="CS498" s="26"/>
      <c r="CT498" s="26"/>
      <c r="CU498" s="26"/>
      <c r="CV498" s="26"/>
      <c r="CW498" s="26"/>
      <c r="CX498" s="26"/>
      <c r="CY498" s="26"/>
      <c r="CZ498" s="26"/>
      <c r="DA498" s="26"/>
      <c r="DB498" s="26"/>
      <c r="DC498" s="26"/>
      <c r="DD498" s="26"/>
    </row>
    <row r="499" spans="59:108" x14ac:dyDescent="0.2">
      <c r="BG499" s="26"/>
      <c r="BH499" s="26"/>
      <c r="BI499" s="26"/>
      <c r="BJ499" s="26"/>
      <c r="BK499" s="26"/>
      <c r="BL499" s="26"/>
      <c r="BM499" s="26"/>
      <c r="BN499" s="26"/>
      <c r="BO499" s="26"/>
      <c r="BP499" s="26"/>
      <c r="BQ499" s="26"/>
      <c r="BR499" s="26"/>
      <c r="BS499" s="26"/>
      <c r="BT499" s="26"/>
      <c r="BU499" s="26"/>
      <c r="BV499" s="26"/>
      <c r="BW499" s="26"/>
      <c r="BX499" s="26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K499" s="26"/>
      <c r="CL499" s="26"/>
      <c r="CM499" s="26"/>
      <c r="CN499" s="26"/>
      <c r="CO499" s="26"/>
      <c r="CP499" s="26"/>
      <c r="CQ499" s="26"/>
      <c r="CR499" s="26"/>
      <c r="CS499" s="26"/>
      <c r="CT499" s="26"/>
      <c r="CU499" s="26"/>
      <c r="CV499" s="26"/>
      <c r="CW499" s="26"/>
      <c r="CX499" s="26"/>
      <c r="CY499" s="26"/>
      <c r="CZ499" s="26"/>
      <c r="DA499" s="26"/>
      <c r="DB499" s="26"/>
      <c r="DC499" s="26"/>
      <c r="DD499" s="26"/>
    </row>
    <row r="500" spans="59:108" x14ac:dyDescent="0.2">
      <c r="BG500" s="26"/>
      <c r="BH500" s="26"/>
      <c r="BI500" s="26"/>
      <c r="BJ500" s="26"/>
      <c r="BK500" s="26"/>
      <c r="BL500" s="26"/>
      <c r="BM500" s="26"/>
      <c r="BN500" s="26"/>
      <c r="BO500" s="26"/>
      <c r="BP500" s="26"/>
      <c r="BQ500" s="26"/>
      <c r="BR500" s="26"/>
      <c r="BS500" s="26"/>
      <c r="BT500" s="26"/>
      <c r="BU500" s="26"/>
      <c r="BV500" s="26"/>
      <c r="BW500" s="26"/>
      <c r="BX500" s="26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K500" s="26"/>
      <c r="CL500" s="26"/>
      <c r="CM500" s="26"/>
      <c r="CN500" s="26"/>
      <c r="CO500" s="26"/>
      <c r="CP500" s="26"/>
      <c r="CQ500" s="26"/>
      <c r="CR500" s="26"/>
      <c r="CS500" s="26"/>
      <c r="CT500" s="26"/>
      <c r="CU500" s="26"/>
      <c r="CV500" s="26"/>
      <c r="CW500" s="26"/>
      <c r="CX500" s="26"/>
      <c r="CY500" s="26"/>
      <c r="CZ500" s="26"/>
      <c r="DA500" s="26"/>
      <c r="DB500" s="26"/>
      <c r="DC500" s="26"/>
      <c r="DD500" s="26"/>
    </row>
    <row r="501" spans="59:108" x14ac:dyDescent="0.2">
      <c r="BG501" s="26"/>
      <c r="BH501" s="26"/>
      <c r="BI501" s="26"/>
      <c r="BJ501" s="26"/>
      <c r="BK501" s="26"/>
      <c r="BL501" s="26"/>
      <c r="BM501" s="26"/>
      <c r="BN501" s="26"/>
      <c r="BO501" s="26"/>
      <c r="BP501" s="26"/>
      <c r="BQ501" s="26"/>
      <c r="BR501" s="26"/>
      <c r="BS501" s="26"/>
      <c r="BT501" s="26"/>
      <c r="BU501" s="26"/>
      <c r="BV501" s="26"/>
      <c r="BW501" s="26"/>
      <c r="BX501" s="26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K501" s="26"/>
      <c r="CL501" s="26"/>
      <c r="CM501" s="26"/>
      <c r="CN501" s="26"/>
      <c r="CO501" s="26"/>
      <c r="CP501" s="26"/>
      <c r="CQ501" s="26"/>
      <c r="CR501" s="26"/>
      <c r="CS501" s="26"/>
      <c r="CT501" s="26"/>
      <c r="CU501" s="26"/>
      <c r="CV501" s="26"/>
      <c r="CW501" s="26"/>
      <c r="CX501" s="26"/>
      <c r="CY501" s="26"/>
      <c r="CZ501" s="26"/>
      <c r="DA501" s="26"/>
      <c r="DB501" s="26"/>
      <c r="DC501" s="26"/>
      <c r="DD501" s="26"/>
    </row>
    <row r="502" spans="59:108" x14ac:dyDescent="0.2">
      <c r="BG502" s="26"/>
      <c r="BH502" s="26"/>
      <c r="BI502" s="26"/>
      <c r="BJ502" s="26"/>
      <c r="BK502" s="26"/>
      <c r="BL502" s="26"/>
      <c r="BM502" s="26"/>
      <c r="BN502" s="26"/>
      <c r="BO502" s="26"/>
      <c r="BP502" s="26"/>
      <c r="BQ502" s="26"/>
      <c r="BR502" s="26"/>
      <c r="BS502" s="26"/>
      <c r="BT502" s="26"/>
      <c r="BU502" s="26"/>
      <c r="BV502" s="26"/>
      <c r="BW502" s="26"/>
      <c r="BX502" s="26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K502" s="26"/>
      <c r="CL502" s="26"/>
      <c r="CM502" s="26"/>
      <c r="CN502" s="26"/>
      <c r="CO502" s="26"/>
      <c r="CP502" s="26"/>
      <c r="CQ502" s="26"/>
      <c r="CR502" s="26"/>
      <c r="CS502" s="26"/>
      <c r="CT502" s="26"/>
      <c r="CU502" s="26"/>
      <c r="CV502" s="26"/>
      <c r="CW502" s="26"/>
      <c r="CX502" s="26"/>
      <c r="CY502" s="26"/>
      <c r="CZ502" s="26"/>
      <c r="DA502" s="26"/>
      <c r="DB502" s="26"/>
      <c r="DC502" s="26"/>
      <c r="DD502" s="26"/>
    </row>
    <row r="503" spans="59:108" x14ac:dyDescent="0.2">
      <c r="BG503" s="26"/>
      <c r="BH503" s="26"/>
      <c r="BI503" s="26"/>
      <c r="BJ503" s="26"/>
      <c r="BK503" s="26"/>
      <c r="BL503" s="26"/>
      <c r="BM503" s="26"/>
      <c r="BN503" s="26"/>
      <c r="BO503" s="26"/>
      <c r="BP503" s="26"/>
      <c r="BQ503" s="26"/>
      <c r="BR503" s="26"/>
      <c r="BS503" s="26"/>
      <c r="BT503" s="26"/>
      <c r="BU503" s="26"/>
      <c r="BV503" s="26"/>
      <c r="BW503" s="26"/>
      <c r="BX503" s="26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K503" s="26"/>
      <c r="CL503" s="26"/>
      <c r="CM503" s="26"/>
      <c r="CN503" s="26"/>
      <c r="CO503" s="26"/>
      <c r="CP503" s="26"/>
      <c r="CQ503" s="26"/>
      <c r="CR503" s="26"/>
      <c r="CS503" s="26"/>
      <c r="CT503" s="26"/>
      <c r="CU503" s="26"/>
      <c r="CV503" s="26"/>
      <c r="CW503" s="26"/>
      <c r="CX503" s="26"/>
      <c r="CY503" s="26"/>
      <c r="CZ503" s="26"/>
      <c r="DA503" s="26"/>
      <c r="DB503" s="26"/>
      <c r="DC503" s="26"/>
      <c r="DD503" s="26"/>
    </row>
    <row r="504" spans="59:108" x14ac:dyDescent="0.2">
      <c r="BG504" s="26"/>
      <c r="BH504" s="26"/>
      <c r="BI504" s="26"/>
      <c r="BJ504" s="26"/>
      <c r="BK504" s="26"/>
      <c r="BL504" s="26"/>
      <c r="BM504" s="26"/>
      <c r="BN504" s="26"/>
      <c r="BO504" s="26"/>
      <c r="BP504" s="26"/>
      <c r="BQ504" s="26"/>
      <c r="BR504" s="26"/>
      <c r="BS504" s="26"/>
      <c r="BT504" s="26"/>
      <c r="BU504" s="26"/>
      <c r="BV504" s="26"/>
      <c r="BW504" s="26"/>
      <c r="BX504" s="26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K504" s="26"/>
      <c r="CL504" s="26"/>
      <c r="CM504" s="26"/>
      <c r="CN504" s="26"/>
      <c r="CO504" s="26"/>
      <c r="CP504" s="26"/>
      <c r="CQ504" s="26"/>
      <c r="CR504" s="26"/>
      <c r="CS504" s="26"/>
      <c r="CT504" s="26"/>
      <c r="CU504" s="26"/>
      <c r="CV504" s="26"/>
      <c r="CW504" s="26"/>
      <c r="CX504" s="26"/>
      <c r="CY504" s="26"/>
      <c r="CZ504" s="26"/>
      <c r="DA504" s="26"/>
      <c r="DB504" s="26"/>
      <c r="DC504" s="26"/>
      <c r="DD504" s="26"/>
    </row>
    <row r="505" spans="59:108" x14ac:dyDescent="0.2">
      <c r="BG505" s="26"/>
      <c r="BH505" s="26"/>
      <c r="BI505" s="26"/>
      <c r="BJ505" s="26"/>
      <c r="BK505" s="26"/>
      <c r="BL505" s="26"/>
      <c r="BM505" s="26"/>
      <c r="BN505" s="26"/>
      <c r="BO505" s="26"/>
      <c r="BP505" s="26"/>
      <c r="BQ505" s="26"/>
      <c r="BR505" s="26"/>
      <c r="BS505" s="26"/>
      <c r="BT505" s="26"/>
      <c r="BU505" s="26"/>
      <c r="BV505" s="26"/>
      <c r="BW505" s="26"/>
      <c r="BX505" s="26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K505" s="26"/>
      <c r="CL505" s="26"/>
      <c r="CM505" s="26"/>
      <c r="CN505" s="26"/>
      <c r="CO505" s="26"/>
      <c r="CP505" s="26"/>
      <c r="CQ505" s="26"/>
      <c r="CR505" s="26"/>
      <c r="CS505" s="26"/>
      <c r="CT505" s="26"/>
      <c r="CU505" s="26"/>
      <c r="CV505" s="26"/>
      <c r="CW505" s="26"/>
      <c r="CX505" s="26"/>
      <c r="CY505" s="26"/>
      <c r="CZ505" s="26"/>
      <c r="DA505" s="26"/>
      <c r="DB505" s="26"/>
      <c r="DC505" s="26"/>
      <c r="DD505" s="26"/>
    </row>
    <row r="506" spans="59:108" x14ac:dyDescent="0.2">
      <c r="BG506" s="26"/>
      <c r="BH506" s="26"/>
      <c r="BI506" s="26"/>
      <c r="BJ506" s="26"/>
      <c r="BK506" s="26"/>
      <c r="BL506" s="26"/>
      <c r="BM506" s="26"/>
      <c r="BN506" s="26"/>
      <c r="BO506" s="26"/>
      <c r="BP506" s="26"/>
      <c r="BQ506" s="26"/>
      <c r="BR506" s="26"/>
      <c r="BS506" s="26"/>
      <c r="BT506" s="26"/>
      <c r="BU506" s="26"/>
      <c r="BV506" s="26"/>
      <c r="BW506" s="26"/>
      <c r="BX506" s="26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K506" s="26"/>
      <c r="CL506" s="26"/>
      <c r="CM506" s="26"/>
      <c r="CN506" s="26"/>
      <c r="CO506" s="26"/>
      <c r="CP506" s="26"/>
      <c r="CQ506" s="26"/>
      <c r="CR506" s="26"/>
      <c r="CS506" s="26"/>
      <c r="CT506" s="26"/>
      <c r="CU506" s="26"/>
      <c r="CV506" s="26"/>
      <c r="CW506" s="26"/>
      <c r="CX506" s="26"/>
      <c r="CY506" s="26"/>
      <c r="CZ506" s="26"/>
      <c r="DA506" s="26"/>
      <c r="DB506" s="26"/>
      <c r="DC506" s="26"/>
      <c r="DD506" s="26"/>
    </row>
    <row r="507" spans="59:108" x14ac:dyDescent="0.2">
      <c r="BG507" s="26"/>
      <c r="BH507" s="26"/>
      <c r="BI507" s="26"/>
      <c r="BJ507" s="26"/>
      <c r="BK507" s="26"/>
      <c r="BL507" s="26"/>
      <c r="BM507" s="26"/>
      <c r="BN507" s="26"/>
      <c r="BO507" s="26"/>
      <c r="BP507" s="26"/>
      <c r="BQ507" s="26"/>
      <c r="BR507" s="26"/>
      <c r="BS507" s="26"/>
      <c r="BT507" s="26"/>
      <c r="BU507" s="26"/>
      <c r="BV507" s="26"/>
      <c r="BW507" s="26"/>
      <c r="BX507" s="26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K507" s="26"/>
      <c r="CL507" s="26"/>
      <c r="CM507" s="26"/>
      <c r="CN507" s="26"/>
      <c r="CO507" s="26"/>
      <c r="CP507" s="26"/>
      <c r="CQ507" s="26"/>
      <c r="CR507" s="26"/>
      <c r="CS507" s="26"/>
      <c r="CT507" s="26"/>
      <c r="CU507" s="26"/>
      <c r="CV507" s="26"/>
      <c r="CW507" s="26"/>
      <c r="CX507" s="26"/>
      <c r="CY507" s="26"/>
      <c r="CZ507" s="26"/>
      <c r="DA507" s="26"/>
      <c r="DB507" s="26"/>
      <c r="DC507" s="26"/>
      <c r="DD507" s="26"/>
    </row>
    <row r="508" spans="59:108" x14ac:dyDescent="0.2">
      <c r="BG508" s="26"/>
      <c r="BH508" s="26"/>
      <c r="BI508" s="26"/>
      <c r="BJ508" s="26"/>
      <c r="BK508" s="26"/>
      <c r="BL508" s="26"/>
      <c r="BM508" s="26"/>
      <c r="BN508" s="26"/>
      <c r="BO508" s="26"/>
      <c r="BP508" s="26"/>
      <c r="BQ508" s="26"/>
      <c r="BR508" s="26"/>
      <c r="BS508" s="26"/>
      <c r="BT508" s="26"/>
      <c r="BU508" s="26"/>
      <c r="BV508" s="26"/>
      <c r="BW508" s="26"/>
      <c r="BX508" s="26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K508" s="26"/>
      <c r="CL508" s="26"/>
      <c r="CM508" s="26"/>
      <c r="CN508" s="26"/>
      <c r="CO508" s="26"/>
      <c r="CP508" s="26"/>
      <c r="CQ508" s="26"/>
      <c r="CR508" s="26"/>
      <c r="CS508" s="26"/>
      <c r="CT508" s="26"/>
      <c r="CU508" s="26"/>
      <c r="CV508" s="26"/>
      <c r="CW508" s="26"/>
      <c r="CX508" s="26"/>
      <c r="CY508" s="26"/>
      <c r="CZ508" s="26"/>
      <c r="DA508" s="26"/>
      <c r="DB508" s="26"/>
      <c r="DC508" s="26"/>
      <c r="DD508" s="26"/>
    </row>
    <row r="509" spans="59:108" x14ac:dyDescent="0.2">
      <c r="BG509" s="26"/>
      <c r="BH509" s="26"/>
      <c r="BI509" s="26"/>
      <c r="BJ509" s="26"/>
      <c r="BK509" s="26"/>
      <c r="BL509" s="26"/>
      <c r="BM509" s="26"/>
      <c r="BN509" s="26"/>
      <c r="BO509" s="26"/>
      <c r="BP509" s="26"/>
      <c r="BQ509" s="26"/>
      <c r="BR509" s="26"/>
      <c r="BS509" s="26"/>
      <c r="BT509" s="26"/>
      <c r="BU509" s="26"/>
      <c r="BV509" s="26"/>
      <c r="BW509" s="26"/>
      <c r="BX509" s="26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K509" s="26"/>
      <c r="CL509" s="26"/>
      <c r="CM509" s="26"/>
      <c r="CN509" s="26"/>
      <c r="CO509" s="26"/>
      <c r="CP509" s="26"/>
      <c r="CQ509" s="26"/>
      <c r="CR509" s="26"/>
      <c r="CS509" s="26"/>
      <c r="CT509" s="26"/>
      <c r="CU509" s="26"/>
      <c r="CV509" s="26"/>
      <c r="CW509" s="26"/>
      <c r="CX509" s="26"/>
      <c r="CY509" s="26"/>
      <c r="CZ509" s="26"/>
      <c r="DA509" s="26"/>
      <c r="DB509" s="26"/>
      <c r="DC509" s="26"/>
      <c r="DD509" s="26"/>
    </row>
    <row r="510" spans="59:108" x14ac:dyDescent="0.2">
      <c r="BG510" s="26"/>
      <c r="BH510" s="26"/>
      <c r="BI510" s="26"/>
      <c r="BJ510" s="26"/>
      <c r="BK510" s="26"/>
      <c r="BL510" s="26"/>
      <c r="BM510" s="26"/>
      <c r="BN510" s="26"/>
      <c r="BO510" s="26"/>
      <c r="BP510" s="26"/>
      <c r="BQ510" s="26"/>
      <c r="BR510" s="26"/>
      <c r="BS510" s="26"/>
      <c r="BT510" s="26"/>
      <c r="BU510" s="26"/>
      <c r="BV510" s="26"/>
      <c r="BW510" s="26"/>
      <c r="BX510" s="26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K510" s="26"/>
      <c r="CL510" s="26"/>
      <c r="CM510" s="26"/>
      <c r="CN510" s="26"/>
      <c r="CO510" s="26"/>
      <c r="CP510" s="26"/>
      <c r="CQ510" s="26"/>
      <c r="CR510" s="26"/>
      <c r="CS510" s="26"/>
      <c r="CT510" s="26"/>
      <c r="CU510" s="26"/>
      <c r="CV510" s="26"/>
      <c r="CW510" s="26"/>
      <c r="CX510" s="26"/>
      <c r="CY510" s="26"/>
      <c r="CZ510" s="26"/>
      <c r="DA510" s="26"/>
      <c r="DB510" s="26"/>
      <c r="DC510" s="26"/>
      <c r="DD510" s="26"/>
    </row>
    <row r="511" spans="59:108" x14ac:dyDescent="0.2">
      <c r="BG511" s="26"/>
      <c r="BH511" s="26"/>
      <c r="BI511" s="26"/>
      <c r="BJ511" s="26"/>
      <c r="BK511" s="26"/>
      <c r="BL511" s="26"/>
      <c r="BM511" s="26"/>
      <c r="BN511" s="26"/>
      <c r="BO511" s="26"/>
      <c r="BP511" s="26"/>
      <c r="BQ511" s="26"/>
      <c r="BR511" s="26"/>
      <c r="BS511" s="26"/>
      <c r="BT511" s="26"/>
      <c r="BU511" s="26"/>
      <c r="BV511" s="26"/>
      <c r="BW511" s="26"/>
      <c r="BX511" s="26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K511" s="26"/>
      <c r="CL511" s="26"/>
      <c r="CM511" s="26"/>
      <c r="CN511" s="26"/>
      <c r="CO511" s="26"/>
      <c r="CP511" s="26"/>
      <c r="CQ511" s="26"/>
      <c r="CR511" s="26"/>
      <c r="CS511" s="26"/>
      <c r="CT511" s="26"/>
      <c r="CU511" s="26"/>
      <c r="CV511" s="26"/>
      <c r="CW511" s="26"/>
      <c r="CX511" s="26"/>
      <c r="CY511" s="26"/>
      <c r="CZ511" s="26"/>
      <c r="DA511" s="26"/>
      <c r="DB511" s="26"/>
      <c r="DC511" s="26"/>
      <c r="DD511" s="26"/>
    </row>
    <row r="512" spans="59:108" x14ac:dyDescent="0.2">
      <c r="BG512" s="26"/>
      <c r="BH512" s="26"/>
      <c r="BI512" s="26"/>
      <c r="BJ512" s="26"/>
      <c r="BK512" s="26"/>
      <c r="BL512" s="26"/>
      <c r="BM512" s="26"/>
      <c r="BN512" s="26"/>
      <c r="BO512" s="26"/>
      <c r="BP512" s="26"/>
      <c r="BQ512" s="26"/>
      <c r="BR512" s="26"/>
      <c r="BS512" s="26"/>
      <c r="BT512" s="26"/>
      <c r="BU512" s="26"/>
      <c r="BV512" s="26"/>
      <c r="BW512" s="26"/>
      <c r="BX512" s="26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K512" s="26"/>
      <c r="CL512" s="26"/>
      <c r="CM512" s="26"/>
      <c r="CN512" s="26"/>
      <c r="CO512" s="26"/>
      <c r="CP512" s="26"/>
      <c r="CQ512" s="26"/>
      <c r="CR512" s="26"/>
      <c r="CS512" s="26"/>
      <c r="CT512" s="26"/>
      <c r="CU512" s="26"/>
      <c r="CV512" s="26"/>
      <c r="CW512" s="26"/>
      <c r="CX512" s="26"/>
      <c r="CY512" s="26"/>
      <c r="CZ512" s="26"/>
      <c r="DA512" s="26"/>
      <c r="DB512" s="26"/>
      <c r="DC512" s="26"/>
      <c r="DD512" s="26"/>
    </row>
    <row r="513" spans="59:108" x14ac:dyDescent="0.2">
      <c r="BG513" s="26"/>
      <c r="BH513" s="26"/>
      <c r="BI513" s="26"/>
      <c r="BJ513" s="26"/>
      <c r="BK513" s="26"/>
      <c r="BL513" s="26"/>
      <c r="BM513" s="26"/>
      <c r="BN513" s="26"/>
      <c r="BO513" s="26"/>
      <c r="BP513" s="26"/>
      <c r="BQ513" s="26"/>
      <c r="BR513" s="26"/>
      <c r="BS513" s="26"/>
      <c r="BT513" s="26"/>
      <c r="BU513" s="26"/>
      <c r="BV513" s="26"/>
      <c r="BW513" s="26"/>
      <c r="BX513" s="26"/>
      <c r="BY513" s="26"/>
      <c r="BZ513" s="26"/>
      <c r="CA513" s="26"/>
      <c r="CB513" s="26"/>
      <c r="CC513" s="26"/>
      <c r="CD513" s="26"/>
      <c r="CE513" s="26"/>
      <c r="CF513" s="26"/>
      <c r="CG513" s="26"/>
      <c r="CH513" s="26"/>
      <c r="CI513" s="26"/>
      <c r="CJ513" s="26"/>
      <c r="CK513" s="26"/>
      <c r="CL513" s="26"/>
      <c r="CM513" s="26"/>
      <c r="CN513" s="26"/>
      <c r="CO513" s="26"/>
      <c r="CP513" s="26"/>
      <c r="CQ513" s="26"/>
      <c r="CR513" s="26"/>
      <c r="CS513" s="26"/>
      <c r="CT513" s="26"/>
      <c r="CU513" s="26"/>
      <c r="CV513" s="26"/>
      <c r="CW513" s="26"/>
      <c r="CX513" s="26"/>
      <c r="CY513" s="26"/>
      <c r="CZ513" s="26"/>
      <c r="DA513" s="26"/>
      <c r="DB513" s="26"/>
      <c r="DC513" s="26"/>
      <c r="DD513" s="26"/>
    </row>
    <row r="514" spans="59:108" x14ac:dyDescent="0.2">
      <c r="BG514" s="26"/>
      <c r="BH514" s="26"/>
      <c r="BI514" s="26"/>
      <c r="BJ514" s="26"/>
      <c r="BK514" s="26"/>
      <c r="BL514" s="26"/>
      <c r="BM514" s="26"/>
      <c r="BN514" s="26"/>
      <c r="BO514" s="26"/>
      <c r="BP514" s="26"/>
      <c r="BQ514" s="26"/>
      <c r="BR514" s="26"/>
      <c r="BS514" s="26"/>
      <c r="BT514" s="26"/>
      <c r="BU514" s="26"/>
      <c r="BV514" s="26"/>
      <c r="BW514" s="26"/>
      <c r="BX514" s="26"/>
      <c r="BY514" s="26"/>
      <c r="BZ514" s="26"/>
      <c r="CA514" s="26"/>
      <c r="CB514" s="26"/>
      <c r="CC514" s="26"/>
      <c r="CD514" s="26"/>
      <c r="CE514" s="26"/>
      <c r="CF514" s="26"/>
      <c r="CG514" s="26"/>
      <c r="CH514" s="26"/>
      <c r="CI514" s="26"/>
      <c r="CJ514" s="26"/>
      <c r="CK514" s="26"/>
      <c r="CL514" s="26"/>
      <c r="CM514" s="26"/>
      <c r="CN514" s="26"/>
      <c r="CO514" s="26"/>
      <c r="CP514" s="26"/>
      <c r="CQ514" s="26"/>
      <c r="CR514" s="26"/>
      <c r="CS514" s="26"/>
      <c r="CT514" s="26"/>
      <c r="CU514" s="26"/>
      <c r="CV514" s="26"/>
      <c r="CW514" s="26"/>
      <c r="CX514" s="26"/>
      <c r="CY514" s="26"/>
      <c r="CZ514" s="26"/>
      <c r="DA514" s="26"/>
      <c r="DB514" s="26"/>
      <c r="DC514" s="26"/>
      <c r="DD514" s="26"/>
    </row>
    <row r="515" spans="59:108" x14ac:dyDescent="0.2">
      <c r="BG515" s="26"/>
      <c r="BH515" s="26"/>
      <c r="BI515" s="26"/>
      <c r="BJ515" s="26"/>
      <c r="BK515" s="26"/>
      <c r="BL515" s="26"/>
      <c r="BM515" s="26"/>
      <c r="BN515" s="26"/>
      <c r="BO515" s="26"/>
      <c r="BP515" s="26"/>
      <c r="BQ515" s="26"/>
      <c r="BR515" s="26"/>
      <c r="BS515" s="26"/>
      <c r="BT515" s="26"/>
      <c r="BU515" s="26"/>
      <c r="BV515" s="26"/>
      <c r="BW515" s="26"/>
      <c r="BX515" s="26"/>
      <c r="BY515" s="26"/>
      <c r="BZ515" s="26"/>
      <c r="CA515" s="26"/>
      <c r="CB515" s="26"/>
      <c r="CC515" s="26"/>
      <c r="CD515" s="26"/>
      <c r="CE515" s="26"/>
      <c r="CF515" s="26"/>
      <c r="CG515" s="26"/>
      <c r="CH515" s="26"/>
      <c r="CI515" s="26"/>
      <c r="CJ515" s="26"/>
      <c r="CK515" s="26"/>
      <c r="CL515" s="26"/>
      <c r="CM515" s="26"/>
      <c r="CN515" s="26"/>
      <c r="CO515" s="26"/>
      <c r="CP515" s="26"/>
      <c r="CQ515" s="26"/>
      <c r="CR515" s="26"/>
      <c r="CS515" s="26"/>
      <c r="CT515" s="26"/>
      <c r="CU515" s="26"/>
      <c r="CV515" s="26"/>
      <c r="CW515" s="26"/>
      <c r="CX515" s="26"/>
      <c r="CY515" s="26"/>
      <c r="CZ515" s="26"/>
      <c r="DA515" s="26"/>
      <c r="DB515" s="26"/>
      <c r="DC515" s="26"/>
      <c r="DD515" s="26"/>
    </row>
    <row r="516" spans="59:108" x14ac:dyDescent="0.2">
      <c r="BG516" s="26"/>
      <c r="BH516" s="26"/>
      <c r="BI516" s="26"/>
      <c r="BJ516" s="26"/>
      <c r="BK516" s="26"/>
      <c r="BL516" s="26"/>
      <c r="BM516" s="26"/>
      <c r="BN516" s="26"/>
      <c r="BO516" s="26"/>
      <c r="BP516" s="26"/>
      <c r="BQ516" s="26"/>
      <c r="BR516" s="26"/>
      <c r="BS516" s="26"/>
      <c r="BT516" s="26"/>
      <c r="BU516" s="26"/>
      <c r="BV516" s="26"/>
      <c r="BW516" s="26"/>
      <c r="BX516" s="26"/>
      <c r="BY516" s="26"/>
      <c r="BZ516" s="26"/>
      <c r="CA516" s="26"/>
      <c r="CB516" s="26"/>
      <c r="CC516" s="26"/>
      <c r="CD516" s="26"/>
      <c r="CE516" s="26"/>
      <c r="CF516" s="26"/>
      <c r="CG516" s="26"/>
      <c r="CH516" s="26"/>
      <c r="CI516" s="26"/>
      <c r="CJ516" s="26"/>
      <c r="CK516" s="26"/>
      <c r="CL516" s="26"/>
      <c r="CM516" s="26"/>
      <c r="CN516" s="26"/>
      <c r="CO516" s="26"/>
      <c r="CP516" s="26"/>
      <c r="CQ516" s="26"/>
      <c r="CR516" s="26"/>
      <c r="CS516" s="26"/>
      <c r="CT516" s="26"/>
      <c r="CU516" s="26"/>
      <c r="CV516" s="26"/>
      <c r="CW516" s="26"/>
      <c r="CX516" s="26"/>
      <c r="CY516" s="26"/>
      <c r="CZ516" s="26"/>
      <c r="DA516" s="26"/>
      <c r="DB516" s="26"/>
      <c r="DC516" s="26"/>
      <c r="DD516" s="26"/>
    </row>
    <row r="517" spans="59:108" x14ac:dyDescent="0.2">
      <c r="BG517" s="26"/>
      <c r="BH517" s="26"/>
      <c r="BI517" s="26"/>
      <c r="BJ517" s="26"/>
      <c r="BK517" s="26"/>
      <c r="BL517" s="26"/>
      <c r="BM517" s="26"/>
      <c r="BN517" s="26"/>
      <c r="BO517" s="26"/>
      <c r="BP517" s="26"/>
      <c r="BQ517" s="26"/>
      <c r="BR517" s="26"/>
      <c r="BS517" s="26"/>
      <c r="BT517" s="26"/>
      <c r="BU517" s="26"/>
      <c r="BV517" s="26"/>
      <c r="BW517" s="26"/>
      <c r="BX517" s="26"/>
      <c r="BY517" s="26"/>
      <c r="BZ517" s="26"/>
      <c r="CA517" s="26"/>
      <c r="CB517" s="26"/>
      <c r="CC517" s="26"/>
      <c r="CD517" s="26"/>
      <c r="CE517" s="26"/>
      <c r="CF517" s="26"/>
      <c r="CG517" s="26"/>
      <c r="CH517" s="26"/>
      <c r="CI517" s="26"/>
      <c r="CJ517" s="26"/>
      <c r="CK517" s="26"/>
      <c r="CL517" s="26"/>
      <c r="CM517" s="26"/>
      <c r="CN517" s="26"/>
      <c r="CO517" s="26"/>
      <c r="CP517" s="26"/>
      <c r="CQ517" s="26"/>
      <c r="CR517" s="26"/>
      <c r="CS517" s="26"/>
      <c r="CT517" s="26"/>
      <c r="CU517" s="26"/>
      <c r="CV517" s="26"/>
      <c r="CW517" s="26"/>
      <c r="CX517" s="26"/>
      <c r="CY517" s="26"/>
      <c r="CZ517" s="26"/>
      <c r="DA517" s="26"/>
      <c r="DB517" s="26"/>
      <c r="DC517" s="26"/>
      <c r="DD517" s="26"/>
    </row>
    <row r="518" spans="59:108" x14ac:dyDescent="0.2">
      <c r="BG518" s="26"/>
      <c r="BH518" s="26"/>
      <c r="BI518" s="26"/>
      <c r="BJ518" s="26"/>
      <c r="BK518" s="26"/>
      <c r="BL518" s="26"/>
      <c r="BM518" s="26"/>
      <c r="BN518" s="26"/>
      <c r="BO518" s="26"/>
      <c r="BP518" s="26"/>
      <c r="BQ518" s="26"/>
      <c r="BR518" s="26"/>
      <c r="BS518" s="26"/>
      <c r="BT518" s="26"/>
      <c r="BU518" s="26"/>
      <c r="BV518" s="26"/>
      <c r="BW518" s="26"/>
      <c r="BX518" s="26"/>
      <c r="BY518" s="26"/>
      <c r="BZ518" s="26"/>
      <c r="CA518" s="26"/>
      <c r="CB518" s="26"/>
      <c r="CC518" s="26"/>
      <c r="CD518" s="26"/>
      <c r="CE518" s="26"/>
      <c r="CF518" s="26"/>
      <c r="CG518" s="26"/>
      <c r="CH518" s="26"/>
      <c r="CI518" s="26"/>
      <c r="CJ518" s="26"/>
      <c r="CK518" s="26"/>
      <c r="CL518" s="26"/>
      <c r="CM518" s="26"/>
      <c r="CN518" s="26"/>
      <c r="CO518" s="26"/>
      <c r="CP518" s="26"/>
      <c r="CQ518" s="26"/>
      <c r="CR518" s="26"/>
      <c r="CS518" s="26"/>
      <c r="CT518" s="26"/>
      <c r="CU518" s="26"/>
      <c r="CV518" s="26"/>
      <c r="CW518" s="26"/>
      <c r="CX518" s="26"/>
      <c r="CY518" s="26"/>
      <c r="CZ518" s="26"/>
      <c r="DA518" s="26"/>
      <c r="DB518" s="26"/>
      <c r="DC518" s="26"/>
      <c r="DD518" s="26"/>
    </row>
    <row r="519" spans="59:108" x14ac:dyDescent="0.2">
      <c r="BG519" s="26"/>
      <c r="BH519" s="26"/>
      <c r="BI519" s="26"/>
      <c r="BJ519" s="26"/>
      <c r="BK519" s="26"/>
      <c r="BL519" s="26"/>
      <c r="BM519" s="26"/>
      <c r="BN519" s="26"/>
      <c r="BO519" s="26"/>
      <c r="BP519" s="26"/>
      <c r="BQ519" s="26"/>
      <c r="BR519" s="26"/>
      <c r="BS519" s="26"/>
      <c r="BT519" s="26"/>
      <c r="BU519" s="26"/>
      <c r="BV519" s="26"/>
      <c r="BW519" s="26"/>
      <c r="BX519" s="26"/>
      <c r="BY519" s="26"/>
      <c r="BZ519" s="26"/>
      <c r="CA519" s="26"/>
      <c r="CB519" s="26"/>
      <c r="CC519" s="26"/>
      <c r="CD519" s="26"/>
      <c r="CE519" s="26"/>
      <c r="CF519" s="26"/>
      <c r="CG519" s="26"/>
      <c r="CH519" s="26"/>
      <c r="CI519" s="26"/>
      <c r="CJ519" s="26"/>
      <c r="CK519" s="26"/>
      <c r="CL519" s="26"/>
      <c r="CM519" s="26"/>
      <c r="CN519" s="26"/>
      <c r="CO519" s="26"/>
      <c r="CP519" s="26"/>
      <c r="CQ519" s="26"/>
      <c r="CR519" s="26"/>
      <c r="CS519" s="26"/>
      <c r="CT519" s="26"/>
      <c r="CU519" s="26"/>
      <c r="CV519" s="26"/>
      <c r="CW519" s="26"/>
      <c r="CX519" s="26"/>
      <c r="CY519" s="26"/>
      <c r="CZ519" s="26"/>
      <c r="DA519" s="26"/>
      <c r="DB519" s="26"/>
      <c r="DC519" s="26"/>
      <c r="DD519" s="26"/>
    </row>
    <row r="520" spans="59:108" x14ac:dyDescent="0.2">
      <c r="BG520" s="26"/>
      <c r="BH520" s="26"/>
      <c r="BI520" s="26"/>
      <c r="BJ520" s="26"/>
      <c r="BK520" s="26"/>
      <c r="BL520" s="26"/>
      <c r="BM520" s="26"/>
      <c r="BN520" s="26"/>
      <c r="BO520" s="26"/>
      <c r="BP520" s="26"/>
      <c r="BQ520" s="26"/>
      <c r="BR520" s="26"/>
      <c r="BS520" s="26"/>
      <c r="BT520" s="26"/>
      <c r="BU520" s="26"/>
      <c r="BV520" s="26"/>
      <c r="BW520" s="26"/>
      <c r="BX520" s="26"/>
      <c r="BY520" s="26"/>
      <c r="BZ520" s="26"/>
      <c r="CA520" s="26"/>
      <c r="CB520" s="26"/>
      <c r="CC520" s="26"/>
      <c r="CD520" s="26"/>
      <c r="CE520" s="26"/>
      <c r="CF520" s="26"/>
      <c r="CG520" s="26"/>
      <c r="CH520" s="26"/>
      <c r="CI520" s="26"/>
      <c r="CJ520" s="26"/>
      <c r="CK520" s="26"/>
      <c r="CL520" s="26"/>
      <c r="CM520" s="26"/>
      <c r="CN520" s="26"/>
      <c r="CO520" s="26"/>
      <c r="CP520" s="26"/>
      <c r="CQ520" s="26"/>
      <c r="CR520" s="26"/>
      <c r="CS520" s="26"/>
      <c r="CT520" s="26"/>
      <c r="CU520" s="26"/>
      <c r="CV520" s="26"/>
      <c r="CW520" s="26"/>
      <c r="CX520" s="26"/>
      <c r="CY520" s="26"/>
      <c r="CZ520" s="26"/>
      <c r="DA520" s="26"/>
      <c r="DB520" s="26"/>
      <c r="DC520" s="26"/>
      <c r="DD520" s="26"/>
    </row>
    <row r="521" spans="59:108" x14ac:dyDescent="0.2">
      <c r="BG521" s="26"/>
      <c r="BH521" s="26"/>
      <c r="BI521" s="26"/>
      <c r="BJ521" s="26"/>
      <c r="BK521" s="26"/>
      <c r="BL521" s="26"/>
      <c r="BM521" s="26"/>
      <c r="BN521" s="26"/>
      <c r="BO521" s="26"/>
      <c r="BP521" s="26"/>
      <c r="BQ521" s="26"/>
      <c r="BR521" s="26"/>
      <c r="BS521" s="26"/>
      <c r="BT521" s="26"/>
      <c r="BU521" s="26"/>
      <c r="BV521" s="26"/>
      <c r="BW521" s="26"/>
      <c r="BX521" s="26"/>
      <c r="BY521" s="26"/>
      <c r="BZ521" s="26"/>
      <c r="CA521" s="26"/>
      <c r="CB521" s="26"/>
      <c r="CC521" s="26"/>
      <c r="CD521" s="26"/>
      <c r="CE521" s="26"/>
      <c r="CF521" s="26"/>
      <c r="CG521" s="26"/>
      <c r="CH521" s="26"/>
      <c r="CI521" s="26"/>
      <c r="CJ521" s="26"/>
      <c r="CK521" s="26"/>
      <c r="CL521" s="26"/>
      <c r="CM521" s="26"/>
      <c r="CN521" s="26"/>
      <c r="CO521" s="26"/>
      <c r="CP521" s="26"/>
      <c r="CQ521" s="26"/>
      <c r="CR521" s="26"/>
      <c r="CS521" s="26"/>
      <c r="CT521" s="26"/>
      <c r="CU521" s="26"/>
      <c r="CV521" s="26"/>
      <c r="CW521" s="26"/>
      <c r="CX521" s="26"/>
      <c r="CY521" s="26"/>
      <c r="CZ521" s="26"/>
      <c r="DA521" s="26"/>
      <c r="DB521" s="26"/>
      <c r="DC521" s="26"/>
      <c r="DD521" s="26"/>
    </row>
    <row r="522" spans="59:108" x14ac:dyDescent="0.2">
      <c r="BG522" s="26"/>
      <c r="BH522" s="26"/>
      <c r="BI522" s="26"/>
      <c r="BJ522" s="26"/>
      <c r="BK522" s="26"/>
      <c r="BL522" s="26"/>
      <c r="BM522" s="26"/>
      <c r="BN522" s="26"/>
      <c r="BO522" s="26"/>
      <c r="BP522" s="26"/>
      <c r="BQ522" s="26"/>
      <c r="BR522" s="26"/>
      <c r="BS522" s="26"/>
      <c r="BT522" s="26"/>
      <c r="BU522" s="26"/>
      <c r="BV522" s="26"/>
      <c r="BW522" s="26"/>
      <c r="BX522" s="26"/>
      <c r="BY522" s="26"/>
      <c r="BZ522" s="26"/>
      <c r="CA522" s="26"/>
      <c r="CB522" s="26"/>
      <c r="CC522" s="26"/>
      <c r="CD522" s="26"/>
      <c r="CE522" s="26"/>
      <c r="CF522" s="26"/>
      <c r="CG522" s="26"/>
      <c r="CH522" s="26"/>
      <c r="CI522" s="26"/>
      <c r="CJ522" s="26"/>
      <c r="CK522" s="26"/>
      <c r="CL522" s="26"/>
      <c r="CM522" s="26"/>
      <c r="CN522" s="26"/>
      <c r="CO522" s="26"/>
      <c r="CP522" s="26"/>
      <c r="CQ522" s="26"/>
      <c r="CR522" s="26"/>
      <c r="CS522" s="26"/>
      <c r="CT522" s="26"/>
      <c r="CU522" s="26"/>
      <c r="CV522" s="26"/>
      <c r="CW522" s="26"/>
      <c r="CX522" s="26"/>
      <c r="CY522" s="26"/>
      <c r="CZ522" s="26"/>
      <c r="DA522" s="26"/>
      <c r="DB522" s="26"/>
      <c r="DC522" s="26"/>
      <c r="DD522" s="26"/>
    </row>
    <row r="523" spans="59:108" x14ac:dyDescent="0.2">
      <c r="BG523" s="26"/>
      <c r="BH523" s="26"/>
      <c r="BI523" s="26"/>
      <c r="BJ523" s="26"/>
      <c r="BK523" s="26"/>
      <c r="BL523" s="26"/>
      <c r="BM523" s="26"/>
      <c r="BN523" s="26"/>
      <c r="BO523" s="26"/>
      <c r="BP523" s="26"/>
      <c r="BQ523" s="26"/>
      <c r="BR523" s="26"/>
      <c r="BS523" s="26"/>
      <c r="BT523" s="26"/>
      <c r="BU523" s="26"/>
      <c r="BV523" s="26"/>
      <c r="BW523" s="26"/>
      <c r="BX523" s="26"/>
      <c r="BY523" s="26"/>
      <c r="BZ523" s="26"/>
      <c r="CA523" s="26"/>
      <c r="CB523" s="26"/>
      <c r="CC523" s="26"/>
      <c r="CD523" s="26"/>
      <c r="CE523" s="26"/>
      <c r="CF523" s="26"/>
      <c r="CG523" s="26"/>
      <c r="CH523" s="26"/>
      <c r="CI523" s="26"/>
      <c r="CJ523" s="26"/>
      <c r="CK523" s="26"/>
      <c r="CL523" s="26"/>
      <c r="CM523" s="26"/>
      <c r="CN523" s="26"/>
      <c r="CO523" s="26"/>
      <c r="CP523" s="26"/>
      <c r="CQ523" s="26"/>
      <c r="CR523" s="26"/>
      <c r="CS523" s="26"/>
      <c r="CT523" s="26"/>
      <c r="CU523" s="26"/>
      <c r="CV523" s="26"/>
      <c r="CW523" s="26"/>
      <c r="CX523" s="26"/>
      <c r="CY523" s="26"/>
      <c r="CZ523" s="26"/>
      <c r="DA523" s="26"/>
      <c r="DB523" s="26"/>
      <c r="DC523" s="26"/>
      <c r="DD523" s="26"/>
    </row>
    <row r="524" spans="59:108" x14ac:dyDescent="0.2">
      <c r="BG524" s="26"/>
      <c r="BH524" s="26"/>
      <c r="BI524" s="26"/>
      <c r="BJ524" s="26"/>
      <c r="BK524" s="26"/>
      <c r="BL524" s="26"/>
      <c r="BM524" s="26"/>
      <c r="BN524" s="26"/>
      <c r="BO524" s="26"/>
      <c r="BP524" s="26"/>
      <c r="BQ524" s="26"/>
      <c r="BR524" s="26"/>
      <c r="BS524" s="26"/>
      <c r="BT524" s="26"/>
      <c r="BU524" s="26"/>
      <c r="BV524" s="26"/>
      <c r="BW524" s="26"/>
      <c r="BX524" s="26"/>
      <c r="BY524" s="26"/>
      <c r="BZ524" s="26"/>
      <c r="CA524" s="26"/>
      <c r="CB524" s="26"/>
      <c r="CC524" s="26"/>
      <c r="CD524" s="26"/>
      <c r="CE524" s="26"/>
      <c r="CF524" s="26"/>
      <c r="CG524" s="26"/>
      <c r="CH524" s="26"/>
      <c r="CI524" s="26"/>
      <c r="CJ524" s="26"/>
      <c r="CK524" s="26"/>
      <c r="CL524" s="26"/>
      <c r="CM524" s="26"/>
      <c r="CN524" s="26"/>
      <c r="CO524" s="26"/>
      <c r="CP524" s="26"/>
      <c r="CQ524" s="26"/>
      <c r="CR524" s="26"/>
      <c r="CS524" s="26"/>
      <c r="CT524" s="26"/>
      <c r="CU524" s="26"/>
      <c r="CV524" s="26"/>
      <c r="CW524" s="26"/>
      <c r="CX524" s="26"/>
      <c r="CY524" s="26"/>
      <c r="CZ524" s="26"/>
      <c r="DA524" s="26"/>
      <c r="DB524" s="26"/>
      <c r="DC524" s="26"/>
      <c r="DD524" s="26"/>
    </row>
    <row r="525" spans="59:108" x14ac:dyDescent="0.2">
      <c r="BG525" s="26"/>
      <c r="BH525" s="26"/>
      <c r="BI525" s="26"/>
      <c r="BJ525" s="26"/>
      <c r="BK525" s="26"/>
      <c r="BL525" s="26"/>
      <c r="BM525" s="26"/>
      <c r="BN525" s="26"/>
      <c r="BO525" s="26"/>
      <c r="BP525" s="26"/>
      <c r="BQ525" s="26"/>
      <c r="BR525" s="26"/>
      <c r="BS525" s="26"/>
      <c r="BT525" s="26"/>
      <c r="BU525" s="26"/>
      <c r="BV525" s="26"/>
      <c r="BW525" s="26"/>
      <c r="BX525" s="26"/>
      <c r="BY525" s="26"/>
      <c r="BZ525" s="26"/>
      <c r="CA525" s="26"/>
      <c r="CB525" s="26"/>
      <c r="CC525" s="26"/>
      <c r="CD525" s="26"/>
      <c r="CE525" s="26"/>
      <c r="CF525" s="26"/>
      <c r="CG525" s="26"/>
      <c r="CH525" s="26"/>
      <c r="CI525" s="26"/>
      <c r="CJ525" s="26"/>
      <c r="CK525" s="26"/>
      <c r="CL525" s="26"/>
      <c r="CM525" s="26"/>
      <c r="CN525" s="26"/>
      <c r="CO525" s="26"/>
      <c r="CP525" s="26"/>
      <c r="CQ525" s="26"/>
      <c r="CR525" s="26"/>
      <c r="CS525" s="26"/>
      <c r="CT525" s="26"/>
      <c r="CU525" s="26"/>
      <c r="CV525" s="26"/>
      <c r="CW525" s="26"/>
      <c r="CX525" s="26"/>
      <c r="CY525" s="26"/>
      <c r="CZ525" s="26"/>
      <c r="DA525" s="26"/>
      <c r="DB525" s="26"/>
      <c r="DC525" s="26"/>
      <c r="DD525" s="26"/>
    </row>
    <row r="526" spans="59:108" x14ac:dyDescent="0.2">
      <c r="BG526" s="26"/>
      <c r="BH526" s="26"/>
      <c r="BI526" s="26"/>
      <c r="BJ526" s="26"/>
      <c r="BK526" s="26"/>
      <c r="BL526" s="26"/>
      <c r="BM526" s="26"/>
      <c r="BN526" s="26"/>
      <c r="BO526" s="26"/>
      <c r="BP526" s="26"/>
      <c r="BQ526" s="26"/>
      <c r="BR526" s="26"/>
      <c r="BS526" s="26"/>
      <c r="BT526" s="26"/>
      <c r="BU526" s="26"/>
      <c r="BV526" s="26"/>
      <c r="BW526" s="26"/>
      <c r="BX526" s="26"/>
      <c r="BY526" s="26"/>
      <c r="BZ526" s="26"/>
      <c r="CA526" s="26"/>
      <c r="CB526" s="26"/>
      <c r="CC526" s="26"/>
      <c r="CD526" s="26"/>
      <c r="CE526" s="26"/>
      <c r="CF526" s="26"/>
      <c r="CG526" s="26"/>
      <c r="CH526" s="26"/>
      <c r="CI526" s="26"/>
      <c r="CJ526" s="26"/>
      <c r="CK526" s="26"/>
      <c r="CL526" s="26"/>
      <c r="CM526" s="26"/>
      <c r="CN526" s="26"/>
      <c r="CO526" s="26"/>
      <c r="CP526" s="26"/>
      <c r="CQ526" s="26"/>
      <c r="CR526" s="26"/>
      <c r="CS526" s="26"/>
      <c r="CT526" s="26"/>
      <c r="CU526" s="26"/>
      <c r="CV526" s="26"/>
      <c r="CW526" s="26"/>
      <c r="CX526" s="26"/>
      <c r="CY526" s="26"/>
      <c r="CZ526" s="26"/>
      <c r="DA526" s="26"/>
      <c r="DB526" s="26"/>
      <c r="DC526" s="26"/>
      <c r="DD526" s="26"/>
    </row>
    <row r="527" spans="59:108" x14ac:dyDescent="0.2">
      <c r="BG527" s="26"/>
      <c r="BH527" s="26"/>
      <c r="BI527" s="26"/>
      <c r="BJ527" s="26"/>
      <c r="BK527" s="26"/>
      <c r="BL527" s="26"/>
      <c r="BM527" s="26"/>
      <c r="BN527" s="26"/>
      <c r="BO527" s="26"/>
      <c r="BP527" s="26"/>
      <c r="BQ527" s="26"/>
      <c r="BR527" s="26"/>
      <c r="BS527" s="26"/>
      <c r="BT527" s="26"/>
      <c r="BU527" s="26"/>
      <c r="BV527" s="26"/>
      <c r="BW527" s="26"/>
      <c r="BX527" s="26"/>
      <c r="BY527" s="26"/>
      <c r="BZ527" s="26"/>
      <c r="CA527" s="26"/>
      <c r="CB527" s="26"/>
      <c r="CC527" s="26"/>
      <c r="CD527" s="26"/>
      <c r="CE527" s="26"/>
      <c r="CF527" s="26"/>
      <c r="CG527" s="26"/>
      <c r="CH527" s="26"/>
      <c r="CI527" s="26"/>
      <c r="CJ527" s="26"/>
      <c r="CK527" s="26"/>
      <c r="CL527" s="26"/>
      <c r="CM527" s="26"/>
      <c r="CN527" s="26"/>
      <c r="CO527" s="26"/>
      <c r="CP527" s="26"/>
      <c r="CQ527" s="26"/>
      <c r="CR527" s="26"/>
      <c r="CS527" s="26"/>
      <c r="CT527" s="26"/>
      <c r="CU527" s="26"/>
      <c r="CV527" s="26"/>
      <c r="CW527" s="26"/>
      <c r="CX527" s="26"/>
      <c r="CY527" s="26"/>
      <c r="CZ527" s="26"/>
      <c r="DA527" s="26"/>
      <c r="DB527" s="26"/>
      <c r="DC527" s="26"/>
      <c r="DD527" s="26"/>
    </row>
    <row r="528" spans="59:108" x14ac:dyDescent="0.2">
      <c r="BG528" s="26"/>
      <c r="BH528" s="26"/>
      <c r="BI528" s="26"/>
      <c r="BJ528" s="26"/>
      <c r="BK528" s="26"/>
      <c r="BL528" s="26"/>
      <c r="BM528" s="26"/>
      <c r="BN528" s="26"/>
      <c r="BO528" s="26"/>
      <c r="BP528" s="26"/>
      <c r="BQ528" s="26"/>
      <c r="BR528" s="26"/>
      <c r="BS528" s="26"/>
      <c r="BT528" s="26"/>
      <c r="BU528" s="26"/>
      <c r="BV528" s="26"/>
      <c r="BW528" s="26"/>
      <c r="BX528" s="26"/>
      <c r="BY528" s="26"/>
      <c r="BZ528" s="26"/>
      <c r="CA528" s="26"/>
      <c r="CB528" s="26"/>
      <c r="CC528" s="26"/>
      <c r="CD528" s="26"/>
      <c r="CE528" s="26"/>
      <c r="CF528" s="26"/>
      <c r="CG528" s="26"/>
      <c r="CH528" s="26"/>
      <c r="CI528" s="26"/>
      <c r="CJ528" s="26"/>
      <c r="CK528" s="26"/>
      <c r="CL528" s="26"/>
      <c r="CM528" s="26"/>
      <c r="CN528" s="26"/>
      <c r="CO528" s="26"/>
      <c r="CP528" s="26"/>
      <c r="CQ528" s="26"/>
      <c r="CR528" s="26"/>
      <c r="CS528" s="26"/>
      <c r="CT528" s="26"/>
      <c r="CU528" s="26"/>
      <c r="CV528" s="26"/>
      <c r="CW528" s="26"/>
      <c r="CX528" s="26"/>
      <c r="CY528" s="26"/>
      <c r="CZ528" s="26"/>
      <c r="DA528" s="26"/>
      <c r="DB528" s="26"/>
      <c r="DC528" s="26"/>
      <c r="DD528" s="26"/>
    </row>
    <row r="529" spans="59:108" x14ac:dyDescent="0.2">
      <c r="BG529" s="26"/>
      <c r="BH529" s="26"/>
      <c r="BI529" s="26"/>
      <c r="BJ529" s="26"/>
      <c r="BK529" s="26"/>
      <c r="BL529" s="26"/>
      <c r="BM529" s="26"/>
      <c r="BN529" s="26"/>
      <c r="BO529" s="26"/>
      <c r="BP529" s="26"/>
      <c r="BQ529" s="26"/>
      <c r="BR529" s="26"/>
      <c r="BS529" s="26"/>
      <c r="BT529" s="26"/>
      <c r="BU529" s="26"/>
      <c r="BV529" s="26"/>
      <c r="BW529" s="26"/>
      <c r="BX529" s="26"/>
      <c r="BY529" s="26"/>
      <c r="BZ529" s="26"/>
      <c r="CA529" s="26"/>
      <c r="CB529" s="26"/>
      <c r="CC529" s="26"/>
      <c r="CD529" s="26"/>
      <c r="CE529" s="26"/>
      <c r="CF529" s="26"/>
      <c r="CG529" s="26"/>
      <c r="CH529" s="26"/>
      <c r="CI529" s="26"/>
      <c r="CJ529" s="26"/>
      <c r="CK529" s="26"/>
      <c r="CL529" s="26"/>
      <c r="CM529" s="26"/>
      <c r="CN529" s="26"/>
      <c r="CO529" s="26"/>
      <c r="CP529" s="26"/>
      <c r="CQ529" s="26"/>
      <c r="CR529" s="26"/>
      <c r="CS529" s="26"/>
      <c r="CT529" s="26"/>
      <c r="CU529" s="26"/>
      <c r="CV529" s="26"/>
      <c r="CW529" s="26"/>
      <c r="CX529" s="26"/>
      <c r="CY529" s="26"/>
      <c r="CZ529" s="26"/>
      <c r="DA529" s="26"/>
      <c r="DB529" s="26"/>
      <c r="DC529" s="26"/>
      <c r="DD529" s="26"/>
    </row>
    <row r="530" spans="59:108" x14ac:dyDescent="0.2">
      <c r="BG530" s="26"/>
      <c r="BH530" s="26"/>
      <c r="BI530" s="26"/>
      <c r="BJ530" s="26"/>
      <c r="BK530" s="26"/>
      <c r="BL530" s="26"/>
      <c r="BM530" s="26"/>
      <c r="BN530" s="26"/>
      <c r="BO530" s="26"/>
      <c r="BP530" s="26"/>
      <c r="BQ530" s="26"/>
      <c r="BR530" s="26"/>
      <c r="BS530" s="26"/>
      <c r="BT530" s="26"/>
      <c r="BU530" s="26"/>
      <c r="BV530" s="26"/>
      <c r="BW530" s="26"/>
      <c r="BX530" s="26"/>
      <c r="BY530" s="26"/>
      <c r="BZ530" s="26"/>
      <c r="CA530" s="26"/>
      <c r="CB530" s="26"/>
      <c r="CC530" s="26"/>
      <c r="CD530" s="26"/>
      <c r="CE530" s="26"/>
      <c r="CF530" s="26"/>
      <c r="CG530" s="26"/>
      <c r="CH530" s="26"/>
      <c r="CI530" s="26"/>
      <c r="CJ530" s="26"/>
      <c r="CK530" s="26"/>
      <c r="CL530" s="26"/>
      <c r="CM530" s="26"/>
      <c r="CN530" s="26"/>
      <c r="CO530" s="26"/>
      <c r="CP530" s="26"/>
      <c r="CQ530" s="26"/>
      <c r="CR530" s="26"/>
      <c r="CS530" s="26"/>
      <c r="CT530" s="26"/>
      <c r="CU530" s="26"/>
      <c r="CV530" s="26"/>
      <c r="CW530" s="26"/>
      <c r="CX530" s="26"/>
      <c r="CY530" s="26"/>
      <c r="CZ530" s="26"/>
      <c r="DA530" s="26"/>
      <c r="DB530" s="26"/>
      <c r="DC530" s="26"/>
      <c r="DD530" s="26"/>
    </row>
    <row r="531" spans="59:108" x14ac:dyDescent="0.2">
      <c r="BG531" s="26"/>
      <c r="BH531" s="26"/>
      <c r="BI531" s="26"/>
      <c r="BJ531" s="26"/>
      <c r="BK531" s="26"/>
      <c r="BL531" s="26"/>
      <c r="BM531" s="26"/>
      <c r="BN531" s="26"/>
      <c r="BO531" s="26"/>
      <c r="BP531" s="26"/>
      <c r="BQ531" s="26"/>
      <c r="BR531" s="26"/>
      <c r="BS531" s="26"/>
      <c r="BT531" s="26"/>
      <c r="BU531" s="26"/>
      <c r="BV531" s="26"/>
      <c r="BW531" s="26"/>
      <c r="BX531" s="26"/>
      <c r="BY531" s="26"/>
      <c r="BZ531" s="26"/>
      <c r="CA531" s="26"/>
      <c r="CB531" s="26"/>
      <c r="CC531" s="26"/>
      <c r="CD531" s="26"/>
      <c r="CE531" s="26"/>
      <c r="CF531" s="26"/>
      <c r="CG531" s="26"/>
      <c r="CH531" s="26"/>
      <c r="CI531" s="26"/>
      <c r="CJ531" s="26"/>
      <c r="CK531" s="26"/>
      <c r="CL531" s="26"/>
      <c r="CM531" s="26"/>
      <c r="CN531" s="26"/>
      <c r="CO531" s="26"/>
      <c r="CP531" s="26"/>
      <c r="CQ531" s="26"/>
      <c r="CR531" s="26"/>
      <c r="CS531" s="26"/>
      <c r="CT531" s="26"/>
      <c r="CU531" s="26"/>
      <c r="CV531" s="26"/>
      <c r="CW531" s="26"/>
      <c r="CX531" s="26"/>
      <c r="CY531" s="26"/>
      <c r="CZ531" s="26"/>
      <c r="DA531" s="26"/>
      <c r="DB531" s="26"/>
      <c r="DC531" s="26"/>
      <c r="DD531" s="26"/>
    </row>
    <row r="532" spans="59:108" x14ac:dyDescent="0.2">
      <c r="BG532" s="26"/>
      <c r="BH532" s="26"/>
      <c r="BI532" s="26"/>
      <c r="BJ532" s="26"/>
      <c r="BK532" s="26"/>
      <c r="BL532" s="26"/>
      <c r="BM532" s="26"/>
      <c r="BN532" s="26"/>
      <c r="BO532" s="26"/>
      <c r="BP532" s="26"/>
      <c r="BQ532" s="26"/>
      <c r="BR532" s="26"/>
      <c r="BS532" s="26"/>
      <c r="BT532" s="26"/>
      <c r="BU532" s="26"/>
      <c r="BV532" s="26"/>
      <c r="BW532" s="26"/>
      <c r="BX532" s="26"/>
      <c r="BY532" s="26"/>
      <c r="BZ532" s="26"/>
      <c r="CA532" s="26"/>
      <c r="CB532" s="26"/>
      <c r="CC532" s="26"/>
      <c r="CD532" s="26"/>
      <c r="CE532" s="26"/>
      <c r="CF532" s="26"/>
      <c r="CG532" s="26"/>
      <c r="CH532" s="26"/>
      <c r="CI532" s="26"/>
      <c r="CJ532" s="26"/>
      <c r="CK532" s="26"/>
      <c r="CL532" s="26"/>
      <c r="CM532" s="26"/>
      <c r="CN532" s="26"/>
      <c r="CO532" s="26"/>
      <c r="CP532" s="26"/>
      <c r="CQ532" s="26"/>
      <c r="CR532" s="26"/>
      <c r="CS532" s="26"/>
      <c r="CT532" s="26"/>
      <c r="CU532" s="26"/>
      <c r="CV532" s="26"/>
      <c r="CW532" s="26"/>
      <c r="CX532" s="26"/>
      <c r="CY532" s="26"/>
      <c r="CZ532" s="26"/>
      <c r="DA532" s="26"/>
      <c r="DB532" s="26"/>
      <c r="DC532" s="26"/>
      <c r="DD532" s="26"/>
    </row>
    <row r="533" spans="59:108" x14ac:dyDescent="0.2">
      <c r="BG533" s="26"/>
      <c r="BH533" s="26"/>
      <c r="BI533" s="26"/>
      <c r="BJ533" s="26"/>
      <c r="BK533" s="26"/>
      <c r="BL533" s="26"/>
      <c r="BM533" s="26"/>
      <c r="BN533" s="26"/>
      <c r="BO533" s="26"/>
      <c r="BP533" s="26"/>
      <c r="BQ533" s="26"/>
      <c r="BR533" s="26"/>
      <c r="BS533" s="26"/>
      <c r="BT533" s="26"/>
      <c r="BU533" s="26"/>
      <c r="BV533" s="26"/>
      <c r="BW533" s="26"/>
      <c r="BX533" s="26"/>
      <c r="BY533" s="26"/>
      <c r="BZ533" s="26"/>
      <c r="CA533" s="26"/>
      <c r="CB533" s="26"/>
      <c r="CC533" s="26"/>
      <c r="CD533" s="26"/>
      <c r="CE533" s="26"/>
      <c r="CF533" s="26"/>
      <c r="CG533" s="26"/>
      <c r="CH533" s="26"/>
      <c r="CI533" s="26"/>
      <c r="CJ533" s="26"/>
      <c r="CK533" s="26"/>
      <c r="CL533" s="26"/>
      <c r="CM533" s="26"/>
      <c r="CN533" s="26"/>
      <c r="CO533" s="26"/>
      <c r="CP533" s="26"/>
      <c r="CQ533" s="26"/>
      <c r="CR533" s="26"/>
      <c r="CS533" s="26"/>
      <c r="CT533" s="26"/>
      <c r="CU533" s="26"/>
      <c r="CV533" s="26"/>
      <c r="CW533" s="26"/>
      <c r="CX533" s="26"/>
      <c r="CY533" s="26"/>
      <c r="CZ533" s="26"/>
      <c r="DA533" s="26"/>
      <c r="DB533" s="26"/>
      <c r="DC533" s="26"/>
      <c r="DD533" s="26"/>
    </row>
    <row r="534" spans="59:108" x14ac:dyDescent="0.2">
      <c r="BG534" s="26"/>
      <c r="BH534" s="26"/>
      <c r="BI534" s="26"/>
      <c r="BJ534" s="26"/>
      <c r="BK534" s="26"/>
      <c r="BL534" s="26"/>
      <c r="BM534" s="26"/>
      <c r="BN534" s="26"/>
      <c r="BO534" s="26"/>
      <c r="BP534" s="26"/>
      <c r="BQ534" s="26"/>
      <c r="BR534" s="26"/>
      <c r="BS534" s="26"/>
      <c r="BT534" s="26"/>
      <c r="BU534" s="26"/>
      <c r="BV534" s="26"/>
      <c r="BW534" s="26"/>
      <c r="BX534" s="26"/>
      <c r="BY534" s="26"/>
      <c r="BZ534" s="26"/>
      <c r="CA534" s="26"/>
      <c r="CB534" s="26"/>
      <c r="CC534" s="26"/>
      <c r="CD534" s="26"/>
      <c r="CE534" s="26"/>
      <c r="CF534" s="26"/>
      <c r="CG534" s="26"/>
      <c r="CH534" s="26"/>
      <c r="CI534" s="26"/>
      <c r="CJ534" s="26"/>
      <c r="CK534" s="26"/>
      <c r="CL534" s="26"/>
      <c r="CM534" s="26"/>
      <c r="CN534" s="26"/>
      <c r="CO534" s="26"/>
      <c r="CP534" s="26"/>
      <c r="CQ534" s="26"/>
      <c r="CR534" s="26"/>
      <c r="CS534" s="26"/>
      <c r="CT534" s="26"/>
      <c r="CU534" s="26"/>
      <c r="CV534" s="26"/>
      <c r="CW534" s="26"/>
      <c r="CX534" s="26"/>
      <c r="CY534" s="26"/>
      <c r="CZ534" s="26"/>
      <c r="DA534" s="26"/>
      <c r="DB534" s="26"/>
      <c r="DC534" s="26"/>
      <c r="DD534" s="26"/>
    </row>
    <row r="535" spans="59:108" x14ac:dyDescent="0.2">
      <c r="BG535" s="26"/>
      <c r="BH535" s="26"/>
      <c r="BI535" s="26"/>
      <c r="BJ535" s="26"/>
      <c r="BK535" s="26"/>
      <c r="BL535" s="26"/>
      <c r="BM535" s="26"/>
      <c r="BN535" s="26"/>
      <c r="BO535" s="26"/>
      <c r="BP535" s="26"/>
      <c r="BQ535" s="26"/>
      <c r="BR535" s="26"/>
      <c r="BS535" s="26"/>
      <c r="BT535" s="26"/>
      <c r="BU535" s="26"/>
      <c r="BV535" s="26"/>
      <c r="BW535" s="26"/>
      <c r="BX535" s="26"/>
      <c r="BY535" s="26"/>
      <c r="BZ535" s="26"/>
      <c r="CA535" s="26"/>
      <c r="CB535" s="26"/>
      <c r="CC535" s="26"/>
      <c r="CD535" s="26"/>
      <c r="CE535" s="26"/>
      <c r="CF535" s="26"/>
      <c r="CG535" s="26"/>
      <c r="CH535" s="26"/>
      <c r="CI535" s="26"/>
      <c r="CJ535" s="26"/>
      <c r="CK535" s="26"/>
      <c r="CL535" s="26"/>
      <c r="CM535" s="26"/>
      <c r="CN535" s="26"/>
      <c r="CO535" s="26"/>
      <c r="CP535" s="26"/>
      <c r="CQ535" s="26"/>
      <c r="CR535" s="26"/>
      <c r="CS535" s="26"/>
      <c r="CT535" s="26"/>
      <c r="CU535" s="26"/>
      <c r="CV535" s="26"/>
      <c r="CW535" s="26"/>
      <c r="CX535" s="26"/>
      <c r="CY535" s="26"/>
      <c r="CZ535" s="26"/>
      <c r="DA535" s="26"/>
      <c r="DB535" s="26"/>
      <c r="DC535" s="26"/>
      <c r="DD535" s="26"/>
    </row>
    <row r="536" spans="59:108" x14ac:dyDescent="0.2">
      <c r="BG536" s="26"/>
      <c r="BH536" s="26"/>
      <c r="BI536" s="26"/>
      <c r="BJ536" s="26"/>
      <c r="BK536" s="26"/>
      <c r="BL536" s="26"/>
      <c r="BM536" s="26"/>
      <c r="BN536" s="26"/>
      <c r="BO536" s="26"/>
      <c r="BP536" s="26"/>
      <c r="BQ536" s="26"/>
      <c r="BR536" s="26"/>
      <c r="BS536" s="26"/>
      <c r="BT536" s="26"/>
      <c r="BU536" s="26"/>
      <c r="BV536" s="26"/>
      <c r="BW536" s="26"/>
      <c r="BX536" s="26"/>
      <c r="BY536" s="26"/>
      <c r="BZ536" s="26"/>
      <c r="CA536" s="26"/>
      <c r="CB536" s="26"/>
      <c r="CC536" s="26"/>
      <c r="CD536" s="26"/>
      <c r="CE536" s="26"/>
      <c r="CF536" s="26"/>
      <c r="CG536" s="26"/>
      <c r="CH536" s="26"/>
      <c r="CI536" s="26"/>
      <c r="CJ536" s="26"/>
      <c r="CK536" s="26"/>
      <c r="CL536" s="26"/>
      <c r="CM536" s="26"/>
      <c r="CN536" s="26"/>
      <c r="CO536" s="26"/>
      <c r="CP536" s="26"/>
      <c r="CQ536" s="26"/>
      <c r="CR536" s="26"/>
      <c r="CS536" s="26"/>
      <c r="CT536" s="26"/>
      <c r="CU536" s="26"/>
      <c r="CV536" s="26"/>
      <c r="CW536" s="26"/>
      <c r="CX536" s="26"/>
      <c r="CY536" s="26"/>
      <c r="CZ536" s="26"/>
      <c r="DA536" s="26"/>
      <c r="DB536" s="26"/>
      <c r="DC536" s="26"/>
      <c r="DD536" s="26"/>
    </row>
    <row r="537" spans="59:108" x14ac:dyDescent="0.2">
      <c r="BG537" s="26"/>
      <c r="BH537" s="26"/>
      <c r="BI537" s="26"/>
      <c r="BJ537" s="26"/>
      <c r="BK537" s="26"/>
      <c r="BL537" s="26"/>
      <c r="BM537" s="26"/>
      <c r="BN537" s="26"/>
      <c r="BO537" s="26"/>
      <c r="BP537" s="26"/>
      <c r="BQ537" s="26"/>
      <c r="BR537" s="26"/>
      <c r="BS537" s="26"/>
      <c r="BT537" s="26"/>
      <c r="BU537" s="26"/>
      <c r="BV537" s="26"/>
      <c r="BW537" s="26"/>
      <c r="BX537" s="26"/>
      <c r="BY537" s="26"/>
      <c r="BZ537" s="26"/>
      <c r="CA537" s="26"/>
      <c r="CB537" s="26"/>
      <c r="CC537" s="26"/>
      <c r="CD537" s="26"/>
      <c r="CE537" s="26"/>
      <c r="CF537" s="26"/>
      <c r="CG537" s="26"/>
      <c r="CH537" s="26"/>
      <c r="CI537" s="26"/>
      <c r="CJ537" s="26"/>
      <c r="CK537" s="26"/>
      <c r="CL537" s="26"/>
      <c r="CM537" s="26"/>
      <c r="CN537" s="26"/>
      <c r="CO537" s="26"/>
      <c r="CP537" s="26"/>
      <c r="CQ537" s="26"/>
      <c r="CR537" s="26"/>
      <c r="CS537" s="26"/>
      <c r="CT537" s="26"/>
      <c r="CU537" s="26"/>
      <c r="CV537" s="26"/>
      <c r="CW537" s="26"/>
      <c r="CX537" s="26"/>
      <c r="CY537" s="26"/>
      <c r="CZ537" s="26"/>
      <c r="DA537" s="26"/>
      <c r="DB537" s="26"/>
      <c r="DC537" s="26"/>
      <c r="DD537" s="26"/>
    </row>
    <row r="538" spans="59:108" x14ac:dyDescent="0.2">
      <c r="BG538" s="26"/>
      <c r="BH538" s="26"/>
      <c r="BI538" s="26"/>
      <c r="BJ538" s="26"/>
      <c r="BK538" s="26"/>
      <c r="BL538" s="26"/>
      <c r="BM538" s="26"/>
      <c r="BN538" s="26"/>
      <c r="BO538" s="26"/>
      <c r="BP538" s="26"/>
      <c r="BQ538" s="26"/>
      <c r="BR538" s="26"/>
      <c r="BS538" s="26"/>
      <c r="BT538" s="26"/>
      <c r="BU538" s="26"/>
      <c r="BV538" s="26"/>
      <c r="BW538" s="26"/>
      <c r="BX538" s="26"/>
      <c r="BY538" s="26"/>
      <c r="BZ538" s="26"/>
      <c r="CA538" s="26"/>
      <c r="CB538" s="26"/>
      <c r="CC538" s="26"/>
      <c r="CD538" s="26"/>
      <c r="CE538" s="26"/>
      <c r="CF538" s="26"/>
      <c r="CG538" s="26"/>
      <c r="CH538" s="26"/>
      <c r="CI538" s="26"/>
      <c r="CJ538" s="26"/>
      <c r="CK538" s="26"/>
      <c r="CL538" s="26"/>
      <c r="CM538" s="26"/>
      <c r="CN538" s="26"/>
      <c r="CO538" s="26"/>
      <c r="CP538" s="26"/>
      <c r="CQ538" s="26"/>
      <c r="CR538" s="26"/>
      <c r="CS538" s="26"/>
      <c r="CT538" s="26"/>
      <c r="CU538" s="26"/>
      <c r="CV538" s="26"/>
      <c r="CW538" s="26"/>
      <c r="CX538" s="26"/>
      <c r="CY538" s="26"/>
      <c r="CZ538" s="26"/>
      <c r="DA538" s="26"/>
      <c r="DB538" s="26"/>
      <c r="DC538" s="26"/>
      <c r="DD538" s="26"/>
    </row>
    <row r="539" spans="59:108" x14ac:dyDescent="0.2">
      <c r="BG539" s="26"/>
      <c r="BH539" s="26"/>
      <c r="BI539" s="26"/>
      <c r="BJ539" s="26"/>
      <c r="BK539" s="26"/>
      <c r="BL539" s="26"/>
      <c r="BM539" s="26"/>
      <c r="BN539" s="26"/>
      <c r="BO539" s="26"/>
      <c r="BP539" s="26"/>
      <c r="BQ539" s="26"/>
      <c r="BR539" s="26"/>
      <c r="BS539" s="26"/>
      <c r="BT539" s="26"/>
      <c r="BU539" s="26"/>
      <c r="BV539" s="26"/>
      <c r="BW539" s="26"/>
      <c r="BX539" s="26"/>
      <c r="BY539" s="26"/>
      <c r="BZ539" s="26"/>
      <c r="CA539" s="26"/>
      <c r="CB539" s="26"/>
      <c r="CC539" s="26"/>
      <c r="CD539" s="26"/>
      <c r="CE539" s="26"/>
      <c r="CF539" s="26"/>
      <c r="CG539" s="26"/>
      <c r="CH539" s="26"/>
      <c r="CI539" s="26"/>
      <c r="CJ539" s="26"/>
      <c r="CK539" s="26"/>
      <c r="CL539" s="26"/>
      <c r="CM539" s="26"/>
      <c r="CN539" s="26"/>
      <c r="CO539" s="26"/>
      <c r="CP539" s="26"/>
      <c r="CQ539" s="26"/>
      <c r="CR539" s="26"/>
      <c r="CS539" s="26"/>
      <c r="CT539" s="26"/>
      <c r="CU539" s="26"/>
      <c r="CV539" s="26"/>
      <c r="CW539" s="26"/>
      <c r="CX539" s="26"/>
      <c r="CY539" s="26"/>
      <c r="CZ539" s="26"/>
      <c r="DA539" s="26"/>
      <c r="DB539" s="26"/>
      <c r="DC539" s="26"/>
      <c r="DD539" s="26"/>
    </row>
    <row r="540" spans="59:108" x14ac:dyDescent="0.2">
      <c r="BG540" s="26"/>
      <c r="BH540" s="26"/>
      <c r="BI540" s="26"/>
      <c r="BJ540" s="26"/>
      <c r="BK540" s="26"/>
      <c r="BL540" s="26"/>
      <c r="BM540" s="26"/>
      <c r="BN540" s="26"/>
      <c r="BO540" s="26"/>
      <c r="BP540" s="26"/>
      <c r="BQ540" s="26"/>
      <c r="BR540" s="26"/>
      <c r="BS540" s="26"/>
      <c r="BT540" s="26"/>
      <c r="BU540" s="26"/>
      <c r="BV540" s="26"/>
      <c r="BW540" s="26"/>
      <c r="BX540" s="26"/>
      <c r="BY540" s="26"/>
      <c r="BZ540" s="26"/>
      <c r="CA540" s="26"/>
      <c r="CB540" s="26"/>
      <c r="CC540" s="26"/>
      <c r="CD540" s="26"/>
      <c r="CE540" s="26"/>
      <c r="CF540" s="26"/>
      <c r="CG540" s="26"/>
      <c r="CH540" s="26"/>
      <c r="CI540" s="26"/>
      <c r="CJ540" s="26"/>
      <c r="CK540" s="26"/>
      <c r="CL540" s="26"/>
      <c r="CM540" s="26"/>
      <c r="CN540" s="26"/>
      <c r="CO540" s="26"/>
      <c r="CP540" s="26"/>
      <c r="CQ540" s="26"/>
      <c r="CR540" s="26"/>
      <c r="CS540" s="26"/>
      <c r="CT540" s="26"/>
      <c r="CU540" s="26"/>
      <c r="CV540" s="26"/>
      <c r="CW540" s="26"/>
      <c r="CX540" s="26"/>
      <c r="CY540" s="26"/>
      <c r="CZ540" s="26"/>
      <c r="DA540" s="26"/>
      <c r="DB540" s="26"/>
      <c r="DC540" s="26"/>
      <c r="DD540" s="26"/>
    </row>
    <row r="541" spans="59:108" x14ac:dyDescent="0.2">
      <c r="BG541" s="26"/>
      <c r="BH541" s="26"/>
      <c r="BI541" s="26"/>
      <c r="BJ541" s="26"/>
      <c r="BK541" s="26"/>
      <c r="BL541" s="26"/>
      <c r="BM541" s="26"/>
      <c r="BN541" s="26"/>
      <c r="BO541" s="26"/>
      <c r="BP541" s="26"/>
      <c r="BQ541" s="26"/>
      <c r="BR541" s="26"/>
      <c r="BS541" s="26"/>
      <c r="BT541" s="26"/>
      <c r="BU541" s="26"/>
      <c r="BV541" s="26"/>
      <c r="BW541" s="26"/>
      <c r="BX541" s="26"/>
      <c r="BY541" s="26"/>
      <c r="BZ541" s="26"/>
      <c r="CA541" s="26"/>
      <c r="CB541" s="26"/>
      <c r="CC541" s="26"/>
      <c r="CD541" s="26"/>
      <c r="CE541" s="26"/>
      <c r="CF541" s="26"/>
      <c r="CG541" s="26"/>
      <c r="CH541" s="26"/>
      <c r="CI541" s="26"/>
      <c r="CJ541" s="26"/>
      <c r="CK541" s="26"/>
      <c r="CL541" s="26"/>
      <c r="CM541" s="26"/>
      <c r="CN541" s="26"/>
      <c r="CO541" s="26"/>
      <c r="CP541" s="26"/>
      <c r="CQ541" s="26"/>
      <c r="CR541" s="26"/>
      <c r="CS541" s="26"/>
      <c r="CT541" s="26"/>
      <c r="CU541" s="26"/>
      <c r="CV541" s="26"/>
      <c r="CW541" s="26"/>
      <c r="CX541" s="26"/>
      <c r="CY541" s="26"/>
      <c r="CZ541" s="26"/>
      <c r="DA541" s="26"/>
      <c r="DB541" s="26"/>
      <c r="DC541" s="26"/>
      <c r="DD541" s="26"/>
    </row>
    <row r="542" spans="59:108" x14ac:dyDescent="0.2">
      <c r="BG542" s="26"/>
      <c r="BH542" s="26"/>
      <c r="BI542" s="26"/>
      <c r="BJ542" s="26"/>
      <c r="BK542" s="26"/>
      <c r="BL542" s="26"/>
      <c r="BM542" s="26"/>
      <c r="BN542" s="26"/>
      <c r="BO542" s="26"/>
      <c r="BP542" s="26"/>
      <c r="BQ542" s="26"/>
      <c r="BR542" s="26"/>
      <c r="BS542" s="26"/>
      <c r="BT542" s="26"/>
      <c r="BU542" s="26"/>
      <c r="BV542" s="26"/>
      <c r="BW542" s="26"/>
      <c r="BX542" s="26"/>
      <c r="BY542" s="26"/>
      <c r="BZ542" s="26"/>
      <c r="CA542" s="26"/>
      <c r="CB542" s="26"/>
      <c r="CC542" s="26"/>
      <c r="CD542" s="26"/>
      <c r="CE542" s="26"/>
      <c r="CF542" s="26"/>
      <c r="CG542" s="26"/>
      <c r="CH542" s="26"/>
      <c r="CI542" s="26"/>
      <c r="CJ542" s="26"/>
      <c r="CK542" s="26"/>
      <c r="CL542" s="26"/>
      <c r="CM542" s="26"/>
      <c r="CN542" s="26"/>
      <c r="CO542" s="26"/>
      <c r="CP542" s="26"/>
      <c r="CQ542" s="26"/>
      <c r="CR542" s="26"/>
      <c r="CS542" s="26"/>
      <c r="CT542" s="26"/>
      <c r="CU542" s="26"/>
      <c r="CV542" s="26"/>
      <c r="CW542" s="26"/>
      <c r="CX542" s="26"/>
      <c r="CY542" s="26"/>
      <c r="CZ542" s="26"/>
      <c r="DA542" s="26"/>
      <c r="DB542" s="26"/>
      <c r="DC542" s="26"/>
      <c r="DD542" s="26"/>
    </row>
    <row r="543" spans="59:108" x14ac:dyDescent="0.2">
      <c r="BG543" s="26"/>
      <c r="BH543" s="26"/>
      <c r="BI543" s="26"/>
      <c r="BJ543" s="26"/>
      <c r="BK543" s="26"/>
      <c r="BL543" s="26"/>
      <c r="BM543" s="26"/>
      <c r="BN543" s="26"/>
      <c r="BO543" s="26"/>
      <c r="BP543" s="26"/>
      <c r="BQ543" s="26"/>
      <c r="BR543" s="26"/>
      <c r="BS543" s="26"/>
      <c r="BT543" s="26"/>
      <c r="BU543" s="26"/>
      <c r="BV543" s="26"/>
      <c r="BW543" s="26"/>
      <c r="BX543" s="26"/>
      <c r="BY543" s="26"/>
      <c r="BZ543" s="26"/>
      <c r="CA543" s="26"/>
      <c r="CB543" s="26"/>
      <c r="CC543" s="26"/>
      <c r="CD543" s="26"/>
      <c r="CE543" s="26"/>
      <c r="CF543" s="26"/>
      <c r="CG543" s="26"/>
      <c r="CH543" s="26"/>
      <c r="CI543" s="26"/>
      <c r="CJ543" s="26"/>
      <c r="CK543" s="26"/>
      <c r="CL543" s="26"/>
      <c r="CM543" s="26"/>
      <c r="CN543" s="26"/>
      <c r="CO543" s="26"/>
      <c r="CP543" s="26"/>
      <c r="CQ543" s="26"/>
      <c r="CR543" s="26"/>
      <c r="CS543" s="26"/>
      <c r="CT543" s="26"/>
      <c r="CU543" s="26"/>
      <c r="CV543" s="26"/>
      <c r="CW543" s="26"/>
      <c r="CX543" s="26"/>
      <c r="CY543" s="26"/>
      <c r="CZ543" s="26"/>
      <c r="DA543" s="26"/>
      <c r="DB543" s="26"/>
      <c r="DC543" s="26"/>
      <c r="DD543" s="26"/>
    </row>
    <row r="544" spans="59:108" x14ac:dyDescent="0.2">
      <c r="BG544" s="26"/>
      <c r="BH544" s="26"/>
      <c r="BI544" s="26"/>
      <c r="BJ544" s="26"/>
      <c r="BK544" s="26"/>
      <c r="BL544" s="26"/>
      <c r="BM544" s="26"/>
      <c r="BN544" s="26"/>
      <c r="BO544" s="26"/>
      <c r="BP544" s="26"/>
      <c r="BQ544" s="26"/>
      <c r="BR544" s="26"/>
      <c r="BS544" s="26"/>
      <c r="BT544" s="26"/>
      <c r="BU544" s="26"/>
      <c r="BV544" s="26"/>
      <c r="BW544" s="26"/>
      <c r="BX544" s="26"/>
      <c r="BY544" s="26"/>
      <c r="BZ544" s="26"/>
      <c r="CA544" s="26"/>
      <c r="CB544" s="26"/>
      <c r="CC544" s="26"/>
      <c r="CD544" s="26"/>
      <c r="CE544" s="26"/>
      <c r="CF544" s="26"/>
      <c r="CG544" s="26"/>
      <c r="CH544" s="26"/>
      <c r="CI544" s="26"/>
      <c r="CJ544" s="26"/>
      <c r="CK544" s="26"/>
      <c r="CL544" s="26"/>
      <c r="CM544" s="26"/>
      <c r="CN544" s="26"/>
      <c r="CO544" s="26"/>
      <c r="CP544" s="26"/>
      <c r="CQ544" s="26"/>
      <c r="CR544" s="26"/>
      <c r="CS544" s="26"/>
      <c r="CT544" s="26"/>
      <c r="CU544" s="26"/>
      <c r="CV544" s="26"/>
      <c r="CW544" s="26"/>
      <c r="CX544" s="26"/>
      <c r="CY544" s="26"/>
      <c r="CZ544" s="26"/>
      <c r="DA544" s="26"/>
      <c r="DB544" s="26"/>
      <c r="DC544" s="26"/>
      <c r="DD544" s="26"/>
    </row>
    <row r="545" spans="59:108" x14ac:dyDescent="0.2">
      <c r="BG545" s="26"/>
      <c r="BH545" s="26"/>
      <c r="BI545" s="26"/>
      <c r="BJ545" s="26"/>
      <c r="BK545" s="26"/>
      <c r="BL545" s="26"/>
      <c r="BM545" s="26"/>
      <c r="BN545" s="26"/>
      <c r="BO545" s="26"/>
      <c r="BP545" s="26"/>
      <c r="BQ545" s="26"/>
      <c r="BR545" s="26"/>
      <c r="BS545" s="26"/>
      <c r="BT545" s="26"/>
      <c r="BU545" s="26"/>
      <c r="BV545" s="26"/>
      <c r="BW545" s="26"/>
      <c r="BX545" s="26"/>
      <c r="BY545" s="26"/>
      <c r="BZ545" s="26"/>
      <c r="CA545" s="26"/>
      <c r="CB545" s="26"/>
      <c r="CC545" s="26"/>
      <c r="CD545" s="26"/>
      <c r="CE545" s="26"/>
      <c r="CF545" s="26"/>
      <c r="CG545" s="26"/>
      <c r="CH545" s="26"/>
      <c r="CI545" s="26"/>
      <c r="CJ545" s="26"/>
      <c r="CK545" s="26"/>
      <c r="CL545" s="26"/>
      <c r="CM545" s="26"/>
      <c r="CN545" s="26"/>
      <c r="CO545" s="26"/>
      <c r="CP545" s="26"/>
      <c r="CQ545" s="26"/>
      <c r="CR545" s="26"/>
      <c r="CS545" s="26"/>
      <c r="CT545" s="26"/>
      <c r="CU545" s="26"/>
      <c r="CV545" s="26"/>
      <c r="CW545" s="26"/>
      <c r="CX545" s="26"/>
      <c r="CY545" s="26"/>
      <c r="CZ545" s="26"/>
      <c r="DA545" s="26"/>
      <c r="DB545" s="26"/>
      <c r="DC545" s="26"/>
      <c r="DD545" s="26"/>
    </row>
    <row r="546" spans="59:108" x14ac:dyDescent="0.2">
      <c r="BG546" s="26"/>
      <c r="BH546" s="26"/>
      <c r="BI546" s="26"/>
      <c r="BJ546" s="26"/>
      <c r="BK546" s="26"/>
      <c r="BL546" s="26"/>
      <c r="BM546" s="26"/>
      <c r="BN546" s="26"/>
      <c r="BO546" s="26"/>
      <c r="BP546" s="26"/>
      <c r="BQ546" s="26"/>
      <c r="BR546" s="26"/>
      <c r="BS546" s="26"/>
      <c r="BT546" s="26"/>
      <c r="BU546" s="26"/>
      <c r="BV546" s="26"/>
      <c r="BW546" s="26"/>
      <c r="BX546" s="26"/>
      <c r="BY546" s="26"/>
      <c r="BZ546" s="26"/>
      <c r="CA546" s="26"/>
      <c r="CB546" s="26"/>
      <c r="CC546" s="26"/>
      <c r="CD546" s="26"/>
      <c r="CE546" s="26"/>
      <c r="CF546" s="26"/>
      <c r="CG546" s="26"/>
      <c r="CH546" s="26"/>
      <c r="CI546" s="26"/>
      <c r="CJ546" s="26"/>
      <c r="CK546" s="26"/>
      <c r="CL546" s="26"/>
      <c r="CM546" s="26"/>
      <c r="CN546" s="26"/>
      <c r="CO546" s="26"/>
      <c r="CP546" s="26"/>
      <c r="CQ546" s="26"/>
      <c r="CR546" s="26"/>
      <c r="CS546" s="26"/>
      <c r="CT546" s="26"/>
      <c r="CU546" s="26"/>
      <c r="CV546" s="26"/>
      <c r="CW546" s="26"/>
      <c r="CX546" s="26"/>
      <c r="CY546" s="26"/>
      <c r="CZ546" s="26"/>
      <c r="DA546" s="26"/>
      <c r="DB546" s="26"/>
      <c r="DC546" s="26"/>
      <c r="DD546" s="26"/>
    </row>
    <row r="547" spans="59:108" x14ac:dyDescent="0.2">
      <c r="BG547" s="26"/>
      <c r="BH547" s="26"/>
      <c r="BI547" s="26"/>
      <c r="BJ547" s="26"/>
      <c r="BK547" s="26"/>
      <c r="BL547" s="26"/>
      <c r="BM547" s="26"/>
      <c r="BN547" s="26"/>
      <c r="BO547" s="26"/>
      <c r="BP547" s="26"/>
      <c r="BQ547" s="26"/>
      <c r="BR547" s="26"/>
      <c r="BS547" s="26"/>
      <c r="BT547" s="26"/>
      <c r="BU547" s="26"/>
      <c r="BV547" s="26"/>
      <c r="BW547" s="26"/>
      <c r="BX547" s="26"/>
      <c r="BY547" s="26"/>
      <c r="BZ547" s="26"/>
      <c r="CA547" s="26"/>
      <c r="CB547" s="26"/>
      <c r="CC547" s="26"/>
      <c r="CD547" s="26"/>
      <c r="CE547" s="26"/>
      <c r="CF547" s="26"/>
      <c r="CG547" s="26"/>
      <c r="CH547" s="26"/>
      <c r="CI547" s="26"/>
      <c r="CJ547" s="26"/>
      <c r="CK547" s="26"/>
      <c r="CL547" s="26"/>
      <c r="CM547" s="26"/>
      <c r="CN547" s="26"/>
      <c r="CO547" s="26"/>
      <c r="CP547" s="26"/>
      <c r="CQ547" s="26"/>
      <c r="CR547" s="26"/>
      <c r="CS547" s="26"/>
      <c r="CT547" s="26"/>
      <c r="CU547" s="26"/>
      <c r="CV547" s="26"/>
      <c r="CW547" s="26"/>
      <c r="CX547" s="26"/>
      <c r="CY547" s="26"/>
      <c r="CZ547" s="26"/>
      <c r="DA547" s="26"/>
      <c r="DB547" s="26"/>
      <c r="DC547" s="26"/>
      <c r="DD547" s="26"/>
    </row>
    <row r="548" spans="59:108" x14ac:dyDescent="0.2">
      <c r="BG548" s="26"/>
      <c r="BH548" s="26"/>
      <c r="BI548" s="26"/>
      <c r="BJ548" s="26"/>
      <c r="BK548" s="26"/>
      <c r="BL548" s="26"/>
      <c r="BM548" s="26"/>
      <c r="BN548" s="26"/>
      <c r="BO548" s="26"/>
      <c r="BP548" s="26"/>
      <c r="BQ548" s="26"/>
      <c r="BR548" s="26"/>
      <c r="BS548" s="26"/>
      <c r="BT548" s="26"/>
      <c r="BU548" s="26"/>
      <c r="BV548" s="26"/>
      <c r="BW548" s="26"/>
      <c r="BX548" s="26"/>
      <c r="BY548" s="26"/>
      <c r="BZ548" s="26"/>
      <c r="CA548" s="26"/>
      <c r="CB548" s="26"/>
      <c r="CC548" s="26"/>
      <c r="CD548" s="26"/>
      <c r="CE548" s="26"/>
      <c r="CF548" s="26"/>
      <c r="CG548" s="26"/>
      <c r="CH548" s="26"/>
      <c r="CI548" s="26"/>
      <c r="CJ548" s="26"/>
      <c r="CK548" s="26"/>
      <c r="CL548" s="26"/>
      <c r="CM548" s="26"/>
      <c r="CN548" s="26"/>
      <c r="CO548" s="26"/>
      <c r="CP548" s="26"/>
      <c r="CQ548" s="26"/>
      <c r="CR548" s="26"/>
      <c r="CS548" s="26"/>
      <c r="CT548" s="26"/>
      <c r="CU548" s="26"/>
      <c r="CV548" s="26"/>
      <c r="CW548" s="26"/>
      <c r="CX548" s="26"/>
      <c r="CY548" s="26"/>
      <c r="CZ548" s="26"/>
      <c r="DA548" s="26"/>
      <c r="DB548" s="26"/>
      <c r="DC548" s="26"/>
      <c r="DD548" s="26"/>
    </row>
    <row r="549" spans="59:108" x14ac:dyDescent="0.2">
      <c r="BG549" s="26"/>
      <c r="BH549" s="26"/>
      <c r="BI549" s="26"/>
      <c r="BJ549" s="26"/>
      <c r="BK549" s="26"/>
      <c r="BL549" s="26"/>
      <c r="BM549" s="26"/>
      <c r="BN549" s="26"/>
      <c r="BO549" s="26"/>
      <c r="BP549" s="26"/>
      <c r="BQ549" s="26"/>
      <c r="BR549" s="26"/>
      <c r="BS549" s="26"/>
      <c r="BT549" s="26"/>
      <c r="BU549" s="26"/>
      <c r="BV549" s="26"/>
      <c r="BW549" s="26"/>
      <c r="BX549" s="26"/>
      <c r="BY549" s="26"/>
      <c r="BZ549" s="26"/>
      <c r="CA549" s="26"/>
      <c r="CB549" s="26"/>
      <c r="CC549" s="26"/>
      <c r="CD549" s="26"/>
      <c r="CE549" s="26"/>
      <c r="CF549" s="26"/>
      <c r="CG549" s="26"/>
      <c r="CH549" s="26"/>
      <c r="CI549" s="26"/>
      <c r="CJ549" s="26"/>
      <c r="CK549" s="26"/>
      <c r="CL549" s="26"/>
      <c r="CM549" s="26"/>
      <c r="CN549" s="26"/>
      <c r="CO549" s="26"/>
      <c r="CP549" s="26"/>
      <c r="CQ549" s="26"/>
      <c r="CR549" s="26"/>
      <c r="CS549" s="26"/>
      <c r="CT549" s="26"/>
      <c r="CU549" s="26"/>
      <c r="CV549" s="26"/>
      <c r="CW549" s="26"/>
      <c r="CX549" s="26"/>
      <c r="CY549" s="26"/>
      <c r="CZ549" s="26"/>
      <c r="DA549" s="26"/>
      <c r="DB549" s="26"/>
      <c r="DC549" s="26"/>
      <c r="DD549" s="26"/>
    </row>
    <row r="550" spans="59:108" x14ac:dyDescent="0.2">
      <c r="BG550" s="26"/>
      <c r="BH550" s="26"/>
      <c r="BI550" s="26"/>
      <c r="BJ550" s="26"/>
      <c r="BK550" s="26"/>
      <c r="BL550" s="26"/>
      <c r="BM550" s="26"/>
      <c r="BN550" s="26"/>
      <c r="BO550" s="26"/>
      <c r="BP550" s="26"/>
      <c r="BQ550" s="26"/>
      <c r="BR550" s="26"/>
      <c r="BS550" s="26"/>
      <c r="BT550" s="26"/>
      <c r="BU550" s="26"/>
      <c r="BV550" s="26"/>
      <c r="BW550" s="26"/>
      <c r="BX550" s="26"/>
      <c r="BY550" s="26"/>
      <c r="BZ550" s="26"/>
      <c r="CA550" s="26"/>
      <c r="CB550" s="26"/>
      <c r="CC550" s="26"/>
      <c r="CD550" s="26"/>
      <c r="CE550" s="26"/>
      <c r="CF550" s="26"/>
      <c r="CG550" s="26"/>
      <c r="CH550" s="26"/>
      <c r="CI550" s="26"/>
      <c r="CJ550" s="26"/>
      <c r="CK550" s="26"/>
      <c r="CL550" s="26"/>
      <c r="CM550" s="26"/>
      <c r="CN550" s="26"/>
      <c r="CO550" s="26"/>
      <c r="CP550" s="26"/>
      <c r="CQ550" s="26"/>
      <c r="CR550" s="26"/>
      <c r="CS550" s="26"/>
      <c r="CT550" s="26"/>
      <c r="CU550" s="26"/>
      <c r="CV550" s="26"/>
      <c r="CW550" s="26"/>
      <c r="CX550" s="26"/>
      <c r="CY550" s="26"/>
      <c r="CZ550" s="26"/>
      <c r="DA550" s="26"/>
      <c r="DB550" s="26"/>
      <c r="DC550" s="26"/>
      <c r="DD550" s="26"/>
    </row>
    <row r="551" spans="59:108" x14ac:dyDescent="0.2">
      <c r="BG551" s="26"/>
      <c r="BH551" s="26"/>
      <c r="BI551" s="26"/>
      <c r="BJ551" s="26"/>
      <c r="BK551" s="26"/>
      <c r="BL551" s="26"/>
      <c r="BM551" s="26"/>
      <c r="BN551" s="26"/>
      <c r="BO551" s="26"/>
      <c r="BP551" s="26"/>
      <c r="BQ551" s="26"/>
      <c r="BR551" s="26"/>
      <c r="BS551" s="26"/>
      <c r="BT551" s="26"/>
      <c r="BU551" s="26"/>
      <c r="BV551" s="26"/>
      <c r="BW551" s="26"/>
      <c r="BX551" s="26"/>
      <c r="BY551" s="26"/>
      <c r="BZ551" s="26"/>
      <c r="CA551" s="26"/>
      <c r="CB551" s="26"/>
      <c r="CC551" s="26"/>
      <c r="CD551" s="26"/>
      <c r="CE551" s="26"/>
      <c r="CF551" s="26"/>
      <c r="CG551" s="26"/>
      <c r="CH551" s="26"/>
      <c r="CI551" s="26"/>
      <c r="CJ551" s="26"/>
      <c r="CK551" s="26"/>
      <c r="CL551" s="26"/>
      <c r="CM551" s="26"/>
      <c r="CN551" s="26"/>
      <c r="CO551" s="26"/>
      <c r="CP551" s="26"/>
      <c r="CQ551" s="26"/>
      <c r="CR551" s="26"/>
      <c r="CS551" s="26"/>
      <c r="CT551" s="26"/>
      <c r="CU551" s="26"/>
      <c r="CV551" s="26"/>
      <c r="CW551" s="26"/>
      <c r="CX551" s="26"/>
      <c r="CY551" s="26"/>
      <c r="CZ551" s="26"/>
      <c r="DA551" s="26"/>
      <c r="DB551" s="26"/>
      <c r="DC551" s="26"/>
      <c r="DD551" s="26"/>
    </row>
    <row r="552" spans="59:108" x14ac:dyDescent="0.2">
      <c r="BG552" s="26"/>
      <c r="BH552" s="26"/>
      <c r="BI552" s="26"/>
      <c r="BJ552" s="26"/>
      <c r="BK552" s="26"/>
      <c r="BL552" s="26"/>
      <c r="BM552" s="26"/>
      <c r="BN552" s="26"/>
      <c r="BO552" s="26"/>
      <c r="BP552" s="26"/>
      <c r="BQ552" s="26"/>
      <c r="BR552" s="26"/>
      <c r="BS552" s="26"/>
      <c r="BT552" s="26"/>
      <c r="BU552" s="26"/>
      <c r="BV552" s="26"/>
      <c r="BW552" s="26"/>
      <c r="BX552" s="26"/>
      <c r="BY552" s="26"/>
      <c r="BZ552" s="26"/>
      <c r="CA552" s="26"/>
      <c r="CB552" s="26"/>
      <c r="CC552" s="26"/>
      <c r="CD552" s="26"/>
      <c r="CE552" s="26"/>
      <c r="CF552" s="26"/>
      <c r="CG552" s="26"/>
      <c r="CH552" s="26"/>
      <c r="CI552" s="26"/>
      <c r="CJ552" s="26"/>
      <c r="CK552" s="26"/>
      <c r="CL552" s="26"/>
      <c r="CM552" s="26"/>
      <c r="CN552" s="26"/>
      <c r="CO552" s="26"/>
      <c r="CP552" s="26"/>
      <c r="CQ552" s="26"/>
      <c r="CR552" s="26"/>
      <c r="CS552" s="26"/>
      <c r="CT552" s="26"/>
      <c r="CU552" s="26"/>
      <c r="CV552" s="26"/>
      <c r="CW552" s="26"/>
      <c r="CX552" s="26"/>
      <c r="CY552" s="26"/>
      <c r="CZ552" s="26"/>
      <c r="DA552" s="26"/>
      <c r="DB552" s="26"/>
      <c r="DC552" s="26"/>
      <c r="DD552" s="26"/>
    </row>
    <row r="553" spans="59:108" x14ac:dyDescent="0.2">
      <c r="BG553" s="26"/>
      <c r="BH553" s="26"/>
      <c r="BI553" s="26"/>
      <c r="BJ553" s="26"/>
      <c r="BK553" s="26"/>
      <c r="BL553" s="26"/>
      <c r="BM553" s="26"/>
      <c r="BN553" s="26"/>
      <c r="BO553" s="26"/>
      <c r="BP553" s="26"/>
      <c r="BQ553" s="26"/>
      <c r="BR553" s="26"/>
      <c r="BS553" s="26"/>
      <c r="BT553" s="26"/>
      <c r="BU553" s="26"/>
      <c r="BV553" s="26"/>
      <c r="BW553" s="26"/>
      <c r="BX553" s="26"/>
      <c r="BY553" s="26"/>
      <c r="BZ553" s="26"/>
      <c r="CA553" s="26"/>
      <c r="CB553" s="26"/>
      <c r="CC553" s="26"/>
      <c r="CD553" s="26"/>
      <c r="CE553" s="26"/>
      <c r="CF553" s="26"/>
      <c r="CG553" s="26"/>
      <c r="CH553" s="26"/>
      <c r="CI553" s="26"/>
      <c r="CJ553" s="26"/>
      <c r="CK553" s="26"/>
      <c r="CL553" s="26"/>
      <c r="CM553" s="26"/>
      <c r="CN553" s="26"/>
      <c r="CO553" s="26"/>
      <c r="CP553" s="26"/>
      <c r="CQ553" s="26"/>
      <c r="CR553" s="26"/>
      <c r="CS553" s="26"/>
      <c r="CT553" s="26"/>
      <c r="CU553" s="26"/>
      <c r="CV553" s="26"/>
      <c r="CW553" s="26"/>
      <c r="CX553" s="26"/>
      <c r="CY553" s="26"/>
      <c r="CZ553" s="26"/>
      <c r="DA553" s="26"/>
      <c r="DB553" s="26"/>
      <c r="DC553" s="26"/>
      <c r="DD553" s="26"/>
    </row>
    <row r="554" spans="59:108" x14ac:dyDescent="0.2">
      <c r="BG554" s="26"/>
      <c r="BH554" s="26"/>
      <c r="BI554" s="26"/>
      <c r="BJ554" s="26"/>
      <c r="BK554" s="26"/>
      <c r="BL554" s="26"/>
      <c r="BM554" s="26"/>
      <c r="BN554" s="26"/>
      <c r="BO554" s="26"/>
      <c r="BP554" s="26"/>
      <c r="BQ554" s="26"/>
      <c r="BR554" s="26"/>
      <c r="BS554" s="26"/>
      <c r="BT554" s="26"/>
      <c r="BU554" s="26"/>
      <c r="BV554" s="26"/>
      <c r="BW554" s="26"/>
      <c r="BX554" s="26"/>
      <c r="BY554" s="26"/>
      <c r="BZ554" s="26"/>
      <c r="CA554" s="26"/>
      <c r="CB554" s="26"/>
      <c r="CC554" s="26"/>
      <c r="CD554" s="26"/>
      <c r="CE554" s="26"/>
      <c r="CF554" s="26"/>
      <c r="CG554" s="26"/>
      <c r="CH554" s="26"/>
      <c r="CI554" s="26"/>
      <c r="CJ554" s="26"/>
      <c r="CK554" s="26"/>
      <c r="CL554" s="26"/>
      <c r="CM554" s="26"/>
      <c r="CN554" s="26"/>
      <c r="CO554" s="26"/>
      <c r="CP554" s="26"/>
      <c r="CQ554" s="26"/>
      <c r="CR554" s="26"/>
      <c r="CS554" s="26"/>
      <c r="CT554" s="26"/>
      <c r="CU554" s="26"/>
      <c r="CV554" s="26"/>
      <c r="CW554" s="26"/>
      <c r="CX554" s="26"/>
      <c r="CY554" s="26"/>
      <c r="CZ554" s="26"/>
      <c r="DA554" s="26"/>
      <c r="DB554" s="26"/>
      <c r="DC554" s="26"/>
      <c r="DD554" s="26"/>
    </row>
    <row r="555" spans="59:108" x14ac:dyDescent="0.2">
      <c r="BG555" s="26"/>
      <c r="BH555" s="26"/>
      <c r="BI555" s="26"/>
      <c r="BJ555" s="26"/>
      <c r="BK555" s="26"/>
      <c r="BL555" s="26"/>
      <c r="BM555" s="26"/>
      <c r="BN555" s="26"/>
      <c r="BO555" s="26"/>
      <c r="BP555" s="26"/>
      <c r="BQ555" s="26"/>
      <c r="BR555" s="26"/>
      <c r="BS555" s="26"/>
      <c r="BT555" s="26"/>
      <c r="BU555" s="26"/>
      <c r="BV555" s="26"/>
      <c r="BW555" s="26"/>
      <c r="BX555" s="26"/>
      <c r="BY555" s="26"/>
      <c r="BZ555" s="26"/>
      <c r="CA555" s="26"/>
      <c r="CB555" s="26"/>
      <c r="CC555" s="26"/>
      <c r="CD555" s="26"/>
      <c r="CE555" s="26"/>
      <c r="CF555" s="26"/>
      <c r="CG555" s="26"/>
      <c r="CH555" s="26"/>
      <c r="CI555" s="26"/>
      <c r="CJ555" s="26"/>
      <c r="CK555" s="26"/>
      <c r="CL555" s="26"/>
      <c r="CM555" s="26"/>
      <c r="CN555" s="26"/>
      <c r="CO555" s="26"/>
      <c r="CP555" s="26"/>
      <c r="CQ555" s="26"/>
      <c r="CR555" s="26"/>
      <c r="CS555" s="26"/>
      <c r="CT555" s="26"/>
      <c r="CU555" s="26"/>
      <c r="CV555" s="26"/>
      <c r="CW555" s="26"/>
      <c r="CX555" s="26"/>
      <c r="CY555" s="26"/>
      <c r="CZ555" s="26"/>
      <c r="DA555" s="26"/>
      <c r="DB555" s="26"/>
      <c r="DC555" s="26"/>
      <c r="DD555" s="26"/>
    </row>
    <row r="556" spans="59:108" x14ac:dyDescent="0.2">
      <c r="BG556" s="26"/>
      <c r="BH556" s="26"/>
      <c r="BI556" s="26"/>
      <c r="BJ556" s="26"/>
      <c r="BK556" s="26"/>
      <c r="BL556" s="26"/>
      <c r="BM556" s="26"/>
      <c r="BN556" s="26"/>
      <c r="BO556" s="26"/>
      <c r="BP556" s="26"/>
      <c r="BQ556" s="26"/>
      <c r="BR556" s="26"/>
      <c r="BS556" s="26"/>
      <c r="BT556" s="26"/>
      <c r="BU556" s="26"/>
      <c r="BV556" s="26"/>
      <c r="BW556" s="26"/>
      <c r="BX556" s="26"/>
      <c r="BY556" s="26"/>
      <c r="BZ556" s="26"/>
      <c r="CA556" s="26"/>
      <c r="CB556" s="26"/>
      <c r="CC556" s="26"/>
      <c r="CD556" s="26"/>
      <c r="CE556" s="26"/>
      <c r="CF556" s="26"/>
      <c r="CG556" s="26"/>
      <c r="CH556" s="26"/>
      <c r="CI556" s="26"/>
      <c r="CJ556" s="26"/>
      <c r="CK556" s="26"/>
      <c r="CL556" s="26"/>
      <c r="CM556" s="26"/>
      <c r="CN556" s="26"/>
      <c r="CO556" s="26"/>
      <c r="CP556" s="26"/>
      <c r="CQ556" s="26"/>
      <c r="CR556" s="26"/>
      <c r="CS556" s="26"/>
      <c r="CT556" s="26"/>
      <c r="CU556" s="26"/>
      <c r="CV556" s="26"/>
      <c r="CW556" s="26"/>
      <c r="CX556" s="26"/>
      <c r="CY556" s="26"/>
      <c r="CZ556" s="26"/>
      <c r="DA556" s="26"/>
      <c r="DB556" s="26"/>
      <c r="DC556" s="26"/>
      <c r="DD556" s="26"/>
    </row>
    <row r="557" spans="59:108" x14ac:dyDescent="0.2">
      <c r="BG557" s="26"/>
      <c r="BH557" s="26"/>
      <c r="BI557" s="26"/>
      <c r="BJ557" s="26"/>
      <c r="BK557" s="26"/>
      <c r="BL557" s="26"/>
      <c r="BM557" s="26"/>
      <c r="BN557" s="26"/>
      <c r="BO557" s="26"/>
      <c r="BP557" s="26"/>
      <c r="BQ557" s="26"/>
      <c r="BR557" s="26"/>
      <c r="BS557" s="26"/>
      <c r="BT557" s="26"/>
      <c r="BU557" s="26"/>
      <c r="BV557" s="26"/>
      <c r="BW557" s="26"/>
      <c r="BX557" s="26"/>
      <c r="BY557" s="26"/>
      <c r="BZ557" s="26"/>
      <c r="CA557" s="26"/>
      <c r="CB557" s="26"/>
      <c r="CC557" s="26"/>
      <c r="CD557" s="26"/>
      <c r="CE557" s="26"/>
      <c r="CF557" s="26"/>
      <c r="CG557" s="26"/>
      <c r="CH557" s="26"/>
      <c r="CI557" s="26"/>
      <c r="CJ557" s="26"/>
      <c r="CK557" s="26"/>
      <c r="CL557" s="26"/>
      <c r="CM557" s="26"/>
      <c r="CN557" s="26"/>
      <c r="CO557" s="26"/>
      <c r="CP557" s="26"/>
      <c r="CQ557" s="26"/>
      <c r="CR557" s="26"/>
      <c r="CS557" s="26"/>
      <c r="CT557" s="26"/>
      <c r="CU557" s="26"/>
      <c r="CV557" s="26"/>
      <c r="CW557" s="26"/>
      <c r="CX557" s="26"/>
      <c r="CY557" s="26"/>
      <c r="CZ557" s="26"/>
      <c r="DA557" s="26"/>
      <c r="DB557" s="26"/>
      <c r="DC557" s="26"/>
      <c r="DD557" s="26"/>
    </row>
    <row r="558" spans="59:108" x14ac:dyDescent="0.2">
      <c r="BG558" s="26"/>
      <c r="BH558" s="26"/>
      <c r="BI558" s="26"/>
      <c r="BJ558" s="26"/>
      <c r="BK558" s="26"/>
      <c r="BL558" s="26"/>
      <c r="BM558" s="26"/>
      <c r="BN558" s="26"/>
      <c r="BO558" s="26"/>
      <c r="BP558" s="26"/>
      <c r="BQ558" s="26"/>
      <c r="BR558" s="26"/>
      <c r="BS558" s="26"/>
      <c r="BT558" s="26"/>
      <c r="BU558" s="26"/>
      <c r="BV558" s="26"/>
      <c r="BW558" s="26"/>
      <c r="BX558" s="26"/>
      <c r="BY558" s="26"/>
      <c r="BZ558" s="26"/>
      <c r="CA558" s="26"/>
      <c r="CB558" s="26"/>
      <c r="CC558" s="26"/>
      <c r="CD558" s="26"/>
      <c r="CE558" s="26"/>
      <c r="CF558" s="26"/>
      <c r="CG558" s="26"/>
      <c r="CH558" s="26"/>
      <c r="CI558" s="26"/>
      <c r="CJ558" s="26"/>
      <c r="CK558" s="26"/>
      <c r="CL558" s="26"/>
      <c r="CM558" s="26"/>
      <c r="CN558" s="26"/>
      <c r="CO558" s="26"/>
      <c r="CP558" s="26"/>
      <c r="CQ558" s="26"/>
      <c r="CR558" s="26"/>
      <c r="CS558" s="26"/>
      <c r="CT558" s="26"/>
      <c r="CU558" s="26"/>
      <c r="CV558" s="26"/>
      <c r="CW558" s="26"/>
      <c r="CX558" s="26"/>
      <c r="CY558" s="26"/>
      <c r="CZ558" s="26"/>
      <c r="DA558" s="26"/>
      <c r="DB558" s="26"/>
      <c r="DC558" s="26"/>
      <c r="DD558" s="26"/>
    </row>
    <row r="559" spans="59:108" x14ac:dyDescent="0.2">
      <c r="BG559" s="26"/>
      <c r="BH559" s="26"/>
      <c r="BI559" s="26"/>
      <c r="BJ559" s="26"/>
      <c r="BK559" s="26"/>
      <c r="BL559" s="26"/>
      <c r="BM559" s="26"/>
      <c r="BN559" s="26"/>
      <c r="BO559" s="26"/>
      <c r="BP559" s="26"/>
      <c r="BQ559" s="26"/>
      <c r="BR559" s="26"/>
      <c r="BS559" s="26"/>
      <c r="BT559" s="26"/>
      <c r="BU559" s="26"/>
      <c r="BV559" s="26"/>
      <c r="BW559" s="26"/>
      <c r="BX559" s="26"/>
      <c r="BY559" s="26"/>
      <c r="BZ559" s="26"/>
      <c r="CA559" s="26"/>
      <c r="CB559" s="26"/>
      <c r="CC559" s="26"/>
      <c r="CD559" s="26"/>
      <c r="CE559" s="26"/>
      <c r="CF559" s="26"/>
      <c r="CG559" s="26"/>
      <c r="CH559" s="26"/>
      <c r="CI559" s="26"/>
      <c r="CJ559" s="26"/>
      <c r="CK559" s="26"/>
      <c r="CL559" s="26"/>
      <c r="CM559" s="26"/>
      <c r="CN559" s="26"/>
      <c r="CO559" s="26"/>
      <c r="CP559" s="26"/>
      <c r="CQ559" s="26"/>
      <c r="CR559" s="26"/>
      <c r="CS559" s="26"/>
      <c r="CT559" s="26"/>
      <c r="CU559" s="26"/>
      <c r="CV559" s="26"/>
      <c r="CW559" s="26"/>
      <c r="CX559" s="26"/>
      <c r="CY559" s="26"/>
      <c r="CZ559" s="26"/>
      <c r="DA559" s="26"/>
      <c r="DB559" s="26"/>
      <c r="DC559" s="26"/>
      <c r="DD559" s="26"/>
    </row>
    <row r="560" spans="59:108" x14ac:dyDescent="0.2">
      <c r="BG560" s="26"/>
      <c r="BH560" s="26"/>
      <c r="BI560" s="26"/>
      <c r="BJ560" s="26"/>
      <c r="BK560" s="26"/>
      <c r="BL560" s="26"/>
      <c r="BM560" s="26"/>
      <c r="BN560" s="26"/>
      <c r="BO560" s="26"/>
      <c r="BP560" s="26"/>
      <c r="BQ560" s="26"/>
      <c r="BR560" s="26"/>
      <c r="BS560" s="26"/>
      <c r="BT560" s="26"/>
      <c r="BU560" s="26"/>
      <c r="BV560" s="26"/>
      <c r="BW560" s="26"/>
      <c r="BX560" s="26"/>
      <c r="BY560" s="26"/>
      <c r="BZ560" s="26"/>
      <c r="CA560" s="26"/>
      <c r="CB560" s="26"/>
      <c r="CC560" s="26"/>
      <c r="CD560" s="26"/>
      <c r="CE560" s="26"/>
      <c r="CF560" s="26"/>
      <c r="CG560" s="26"/>
      <c r="CH560" s="26"/>
      <c r="CI560" s="26"/>
      <c r="CJ560" s="26"/>
      <c r="CK560" s="26"/>
      <c r="CL560" s="26"/>
      <c r="CM560" s="26"/>
      <c r="CN560" s="26"/>
      <c r="CO560" s="26"/>
      <c r="CP560" s="26"/>
      <c r="CQ560" s="26"/>
      <c r="CR560" s="26"/>
      <c r="CS560" s="26"/>
      <c r="CT560" s="26"/>
      <c r="CU560" s="26"/>
      <c r="CV560" s="26"/>
      <c r="CW560" s="26"/>
      <c r="CX560" s="26"/>
      <c r="CY560" s="26"/>
      <c r="CZ560" s="26"/>
      <c r="DA560" s="26"/>
      <c r="DB560" s="26"/>
      <c r="DC560" s="26"/>
      <c r="DD560" s="26"/>
    </row>
    <row r="561" spans="59:108" x14ac:dyDescent="0.2">
      <c r="BG561" s="26"/>
      <c r="BH561" s="26"/>
      <c r="BI561" s="26"/>
      <c r="BJ561" s="26"/>
      <c r="BK561" s="26"/>
      <c r="BL561" s="26"/>
      <c r="BM561" s="26"/>
      <c r="BN561" s="26"/>
      <c r="BO561" s="26"/>
      <c r="BP561" s="26"/>
      <c r="BQ561" s="26"/>
      <c r="BR561" s="26"/>
      <c r="BS561" s="26"/>
      <c r="BT561" s="26"/>
      <c r="BU561" s="26"/>
      <c r="BV561" s="26"/>
      <c r="BW561" s="26"/>
      <c r="BX561" s="26"/>
      <c r="BY561" s="26"/>
      <c r="BZ561" s="26"/>
      <c r="CA561" s="26"/>
      <c r="CB561" s="26"/>
      <c r="CC561" s="26"/>
      <c r="CD561" s="26"/>
      <c r="CE561" s="26"/>
      <c r="CF561" s="26"/>
      <c r="CG561" s="26"/>
      <c r="CH561" s="26"/>
      <c r="CI561" s="26"/>
      <c r="CJ561" s="26"/>
      <c r="CK561" s="26"/>
      <c r="CL561" s="26"/>
      <c r="CM561" s="26"/>
      <c r="CN561" s="26"/>
      <c r="CO561" s="26"/>
      <c r="CP561" s="26"/>
      <c r="CQ561" s="26"/>
      <c r="CR561" s="26"/>
      <c r="CS561" s="26"/>
      <c r="CT561" s="26"/>
      <c r="CU561" s="26"/>
      <c r="CV561" s="26"/>
      <c r="CW561" s="26"/>
      <c r="CX561" s="26"/>
      <c r="CY561" s="26"/>
      <c r="CZ561" s="26"/>
      <c r="DA561" s="26"/>
      <c r="DB561" s="26"/>
      <c r="DC561" s="26"/>
      <c r="DD561" s="26"/>
    </row>
    <row r="562" spans="59:108" x14ac:dyDescent="0.2">
      <c r="BG562" s="26"/>
      <c r="BH562" s="26"/>
      <c r="BI562" s="26"/>
      <c r="BJ562" s="26"/>
      <c r="BK562" s="26"/>
      <c r="BL562" s="26"/>
      <c r="BM562" s="26"/>
      <c r="BN562" s="26"/>
      <c r="BO562" s="26"/>
      <c r="BP562" s="26"/>
      <c r="BQ562" s="26"/>
      <c r="BR562" s="26"/>
      <c r="BS562" s="26"/>
      <c r="BT562" s="26"/>
      <c r="BU562" s="26"/>
      <c r="BV562" s="26"/>
      <c r="BW562" s="26"/>
      <c r="BX562" s="26"/>
      <c r="BY562" s="26"/>
      <c r="BZ562" s="26"/>
      <c r="CA562" s="26"/>
      <c r="CB562" s="26"/>
      <c r="CC562" s="26"/>
      <c r="CD562" s="26"/>
      <c r="CE562" s="26"/>
      <c r="CF562" s="26"/>
      <c r="CG562" s="26"/>
      <c r="CH562" s="26"/>
      <c r="CI562" s="26"/>
      <c r="CJ562" s="26"/>
      <c r="CK562" s="26"/>
      <c r="CL562" s="26"/>
      <c r="CM562" s="26"/>
      <c r="CN562" s="26"/>
      <c r="CO562" s="26"/>
      <c r="CP562" s="26"/>
      <c r="CQ562" s="26"/>
      <c r="CR562" s="26"/>
      <c r="CS562" s="26"/>
      <c r="CT562" s="26"/>
      <c r="CU562" s="26"/>
      <c r="CV562" s="26"/>
      <c r="CW562" s="26"/>
      <c r="CX562" s="26"/>
      <c r="CY562" s="26"/>
      <c r="CZ562" s="26"/>
      <c r="DA562" s="26"/>
      <c r="DB562" s="26"/>
      <c r="DC562" s="26"/>
      <c r="DD562" s="26"/>
    </row>
    <row r="563" spans="59:108" x14ac:dyDescent="0.2">
      <c r="BG563" s="26"/>
      <c r="BH563" s="26"/>
      <c r="BI563" s="26"/>
      <c r="BJ563" s="26"/>
      <c r="BK563" s="26"/>
      <c r="BL563" s="26"/>
      <c r="BM563" s="26"/>
      <c r="BN563" s="26"/>
      <c r="BO563" s="26"/>
      <c r="BP563" s="26"/>
      <c r="BQ563" s="26"/>
      <c r="BR563" s="26"/>
      <c r="BS563" s="26"/>
      <c r="BT563" s="26"/>
      <c r="BU563" s="26"/>
      <c r="BV563" s="26"/>
      <c r="BW563" s="26"/>
      <c r="BX563" s="26"/>
      <c r="BY563" s="26"/>
      <c r="BZ563" s="26"/>
      <c r="CA563" s="26"/>
      <c r="CB563" s="26"/>
      <c r="CC563" s="26"/>
      <c r="CD563" s="26"/>
      <c r="CE563" s="26"/>
      <c r="CF563" s="26"/>
      <c r="CG563" s="26"/>
      <c r="CH563" s="26"/>
      <c r="CI563" s="26"/>
      <c r="CJ563" s="26"/>
      <c r="CK563" s="26"/>
      <c r="CL563" s="26"/>
      <c r="CM563" s="26"/>
      <c r="CN563" s="26"/>
      <c r="CO563" s="26"/>
      <c r="CP563" s="26"/>
      <c r="CQ563" s="26"/>
      <c r="CR563" s="26"/>
      <c r="CS563" s="26"/>
      <c r="CT563" s="26"/>
      <c r="CU563" s="26"/>
      <c r="CV563" s="26"/>
      <c r="CW563" s="26"/>
      <c r="CX563" s="26"/>
      <c r="CY563" s="26"/>
      <c r="CZ563" s="26"/>
      <c r="DA563" s="26"/>
      <c r="DB563" s="26"/>
      <c r="DC563" s="26"/>
      <c r="DD563" s="26"/>
    </row>
    <row r="564" spans="59:108" x14ac:dyDescent="0.2">
      <c r="BG564" s="26"/>
      <c r="BH564" s="26"/>
      <c r="BI564" s="26"/>
      <c r="BJ564" s="26"/>
      <c r="BK564" s="26"/>
      <c r="BL564" s="26"/>
      <c r="BM564" s="26"/>
      <c r="BN564" s="26"/>
      <c r="BO564" s="26"/>
      <c r="BP564" s="26"/>
      <c r="BQ564" s="26"/>
      <c r="BR564" s="26"/>
      <c r="BS564" s="26"/>
      <c r="BT564" s="26"/>
      <c r="BU564" s="26"/>
      <c r="BV564" s="26"/>
      <c r="BW564" s="26"/>
      <c r="BX564" s="26"/>
      <c r="BY564" s="26"/>
      <c r="BZ564" s="26"/>
      <c r="CA564" s="26"/>
      <c r="CB564" s="26"/>
      <c r="CC564" s="26"/>
      <c r="CD564" s="26"/>
      <c r="CE564" s="26"/>
      <c r="CF564" s="26"/>
      <c r="CG564" s="26"/>
      <c r="CH564" s="26"/>
      <c r="CI564" s="26"/>
      <c r="CJ564" s="26"/>
      <c r="CK564" s="26"/>
      <c r="CL564" s="26"/>
      <c r="CM564" s="26"/>
      <c r="CN564" s="26"/>
      <c r="CO564" s="26"/>
      <c r="CP564" s="26"/>
      <c r="CQ564" s="26"/>
      <c r="CR564" s="26"/>
      <c r="CS564" s="26"/>
      <c r="CT564" s="26"/>
      <c r="CU564" s="26"/>
      <c r="CV564" s="26"/>
      <c r="CW564" s="26"/>
      <c r="CX564" s="26"/>
      <c r="CY564" s="26"/>
      <c r="CZ564" s="26"/>
      <c r="DA564" s="26"/>
      <c r="DB564" s="26"/>
      <c r="DC564" s="26"/>
      <c r="DD564" s="26"/>
    </row>
    <row r="565" spans="59:108" x14ac:dyDescent="0.2">
      <c r="BG565" s="26"/>
      <c r="BH565" s="26"/>
      <c r="BI565" s="26"/>
      <c r="BJ565" s="26"/>
      <c r="BK565" s="26"/>
      <c r="BL565" s="26"/>
      <c r="BM565" s="26"/>
      <c r="BN565" s="26"/>
      <c r="BO565" s="26"/>
      <c r="BP565" s="26"/>
      <c r="BQ565" s="26"/>
      <c r="BR565" s="26"/>
      <c r="BS565" s="26"/>
      <c r="BT565" s="26"/>
      <c r="BU565" s="26"/>
      <c r="BV565" s="26"/>
      <c r="BW565" s="26"/>
      <c r="BX565" s="26"/>
      <c r="BY565" s="26"/>
      <c r="BZ565" s="26"/>
      <c r="CA565" s="26"/>
      <c r="CB565" s="26"/>
      <c r="CC565" s="26"/>
      <c r="CD565" s="26"/>
      <c r="CE565" s="26"/>
      <c r="CF565" s="26"/>
      <c r="CG565" s="26"/>
      <c r="CH565" s="26"/>
      <c r="CI565" s="26"/>
      <c r="CJ565" s="26"/>
      <c r="CK565" s="26"/>
      <c r="CL565" s="26"/>
      <c r="CM565" s="26"/>
      <c r="CN565" s="26"/>
      <c r="CO565" s="26"/>
      <c r="CP565" s="26"/>
      <c r="CQ565" s="26"/>
      <c r="CR565" s="26"/>
      <c r="CS565" s="26"/>
      <c r="CT565" s="26"/>
      <c r="CU565" s="26"/>
      <c r="CV565" s="26"/>
      <c r="CW565" s="26"/>
      <c r="CX565" s="26"/>
      <c r="CY565" s="26"/>
      <c r="CZ565" s="26"/>
      <c r="DA565" s="26"/>
      <c r="DB565" s="26"/>
      <c r="DC565" s="26"/>
      <c r="DD565" s="26"/>
    </row>
    <row r="566" spans="59:108" x14ac:dyDescent="0.2">
      <c r="BG566" s="26"/>
      <c r="BH566" s="26"/>
      <c r="BI566" s="26"/>
      <c r="BJ566" s="26"/>
      <c r="BK566" s="26"/>
      <c r="BL566" s="26"/>
      <c r="BM566" s="26"/>
      <c r="BN566" s="26"/>
      <c r="BO566" s="26"/>
      <c r="BP566" s="26"/>
      <c r="BQ566" s="26"/>
      <c r="BR566" s="26"/>
      <c r="BS566" s="26"/>
      <c r="BT566" s="26"/>
      <c r="BU566" s="26"/>
      <c r="BV566" s="26"/>
      <c r="BW566" s="26"/>
      <c r="BX566" s="26"/>
      <c r="BY566" s="26"/>
      <c r="BZ566" s="26"/>
      <c r="CA566" s="26"/>
      <c r="CB566" s="26"/>
      <c r="CC566" s="26"/>
      <c r="CD566" s="26"/>
      <c r="CE566" s="26"/>
      <c r="CF566" s="26"/>
      <c r="CG566" s="26"/>
      <c r="CH566" s="26"/>
      <c r="CI566" s="26"/>
      <c r="CJ566" s="26"/>
      <c r="CK566" s="26"/>
      <c r="CL566" s="26"/>
      <c r="CM566" s="26"/>
      <c r="CN566" s="26"/>
      <c r="CO566" s="26"/>
      <c r="CP566" s="26"/>
      <c r="CQ566" s="26"/>
      <c r="CR566" s="26"/>
      <c r="CS566" s="26"/>
      <c r="CT566" s="26"/>
      <c r="CU566" s="26"/>
      <c r="CV566" s="26"/>
      <c r="CW566" s="26"/>
      <c r="CX566" s="26"/>
      <c r="CY566" s="26"/>
      <c r="CZ566" s="26"/>
      <c r="DA566" s="26"/>
      <c r="DB566" s="26"/>
      <c r="DC566" s="26"/>
      <c r="DD566" s="26"/>
    </row>
    <row r="567" spans="59:108" x14ac:dyDescent="0.2">
      <c r="BG567" s="26"/>
      <c r="BH567" s="26"/>
      <c r="BI567" s="26"/>
      <c r="BJ567" s="26"/>
      <c r="BK567" s="26"/>
      <c r="BL567" s="26"/>
      <c r="BM567" s="26"/>
      <c r="BN567" s="26"/>
      <c r="BO567" s="26"/>
      <c r="BP567" s="26"/>
      <c r="BQ567" s="26"/>
      <c r="BR567" s="26"/>
      <c r="BS567" s="26"/>
      <c r="BT567" s="26"/>
      <c r="BU567" s="26"/>
      <c r="BV567" s="26"/>
      <c r="BW567" s="26"/>
      <c r="BX567" s="26"/>
      <c r="BY567" s="26"/>
      <c r="BZ567" s="26"/>
      <c r="CA567" s="26"/>
      <c r="CB567" s="26"/>
      <c r="CC567" s="26"/>
      <c r="CD567" s="26"/>
      <c r="CE567" s="26"/>
      <c r="CF567" s="26"/>
      <c r="CG567" s="26"/>
      <c r="CH567" s="26"/>
      <c r="CI567" s="26"/>
      <c r="CJ567" s="26"/>
      <c r="CK567" s="26"/>
      <c r="CL567" s="26"/>
      <c r="CM567" s="26"/>
      <c r="CN567" s="26"/>
      <c r="CO567" s="26"/>
      <c r="CP567" s="26"/>
      <c r="CQ567" s="26"/>
      <c r="CR567" s="26"/>
      <c r="CS567" s="26"/>
      <c r="CT567" s="26"/>
      <c r="CU567" s="26"/>
      <c r="CV567" s="26"/>
      <c r="CW567" s="26"/>
      <c r="CX567" s="26"/>
      <c r="CY567" s="26"/>
      <c r="CZ567" s="26"/>
      <c r="DA567" s="26"/>
      <c r="DB567" s="26"/>
      <c r="DC567" s="26"/>
      <c r="DD567" s="26"/>
    </row>
    <row r="568" spans="59:108" x14ac:dyDescent="0.2">
      <c r="BG568" s="26"/>
      <c r="BH568" s="26"/>
      <c r="BI568" s="26"/>
      <c r="BJ568" s="26"/>
      <c r="BK568" s="26"/>
      <c r="BL568" s="26"/>
      <c r="BM568" s="26"/>
      <c r="BN568" s="26"/>
      <c r="BO568" s="26"/>
      <c r="BP568" s="26"/>
      <c r="BQ568" s="26"/>
      <c r="BR568" s="26"/>
      <c r="BS568" s="26"/>
      <c r="BT568" s="26"/>
      <c r="BU568" s="26"/>
      <c r="BV568" s="26"/>
      <c r="BW568" s="26"/>
      <c r="BX568" s="26"/>
      <c r="BY568" s="26"/>
      <c r="BZ568" s="26"/>
      <c r="CA568" s="26"/>
      <c r="CB568" s="26"/>
      <c r="CC568" s="26"/>
      <c r="CD568" s="26"/>
      <c r="CE568" s="26"/>
      <c r="CF568" s="26"/>
      <c r="CG568" s="26"/>
      <c r="CH568" s="26"/>
      <c r="CI568" s="26"/>
      <c r="CJ568" s="26"/>
      <c r="CK568" s="26"/>
      <c r="CL568" s="26"/>
      <c r="CM568" s="26"/>
      <c r="CN568" s="26"/>
      <c r="CO568" s="26"/>
      <c r="CP568" s="26"/>
      <c r="CQ568" s="26"/>
      <c r="CR568" s="26"/>
      <c r="CS568" s="26"/>
      <c r="CT568" s="26"/>
      <c r="CU568" s="26"/>
      <c r="CV568" s="26"/>
      <c r="CW568" s="26"/>
      <c r="CX568" s="26"/>
      <c r="CY568" s="26"/>
      <c r="CZ568" s="26"/>
      <c r="DA568" s="26"/>
      <c r="DB568" s="26"/>
      <c r="DC568" s="26"/>
      <c r="DD568" s="26"/>
    </row>
    <row r="569" spans="59:108" x14ac:dyDescent="0.2">
      <c r="BG569" s="26"/>
      <c r="BH569" s="26"/>
      <c r="BI569" s="26"/>
      <c r="BJ569" s="26"/>
      <c r="BK569" s="26"/>
      <c r="BL569" s="26"/>
      <c r="BM569" s="26"/>
      <c r="BN569" s="26"/>
      <c r="BO569" s="26"/>
      <c r="BP569" s="26"/>
      <c r="BQ569" s="26"/>
      <c r="BR569" s="26"/>
      <c r="BS569" s="26"/>
      <c r="BT569" s="26"/>
      <c r="BU569" s="26"/>
      <c r="BV569" s="26"/>
      <c r="BW569" s="26"/>
      <c r="BX569" s="26"/>
      <c r="BY569" s="26"/>
      <c r="BZ569" s="26"/>
      <c r="CA569" s="26"/>
      <c r="CB569" s="26"/>
      <c r="CC569" s="26"/>
      <c r="CD569" s="26"/>
      <c r="CE569" s="26"/>
      <c r="CF569" s="26"/>
      <c r="CG569" s="26"/>
      <c r="CH569" s="26"/>
      <c r="CI569" s="26"/>
      <c r="CJ569" s="26"/>
      <c r="CK569" s="26"/>
      <c r="CL569" s="26"/>
      <c r="CM569" s="26"/>
      <c r="CN569" s="26"/>
      <c r="CO569" s="26"/>
      <c r="CP569" s="26"/>
      <c r="CQ569" s="26"/>
      <c r="CR569" s="26"/>
      <c r="CS569" s="26"/>
      <c r="CT569" s="26"/>
      <c r="CU569" s="26"/>
      <c r="CV569" s="26"/>
      <c r="CW569" s="26"/>
      <c r="CX569" s="26"/>
      <c r="CY569" s="26"/>
      <c r="CZ569" s="26"/>
      <c r="DA569" s="26"/>
      <c r="DB569" s="26"/>
      <c r="DC569" s="26"/>
      <c r="DD569" s="26"/>
    </row>
    <row r="570" spans="59:108" x14ac:dyDescent="0.2">
      <c r="BG570" s="26"/>
      <c r="BH570" s="26"/>
      <c r="BI570" s="26"/>
      <c r="BJ570" s="26"/>
      <c r="BK570" s="26"/>
      <c r="BL570" s="26"/>
      <c r="BM570" s="26"/>
      <c r="BN570" s="26"/>
      <c r="BO570" s="26"/>
      <c r="BP570" s="26"/>
      <c r="BQ570" s="26"/>
      <c r="BR570" s="26"/>
      <c r="BS570" s="26"/>
      <c r="BT570" s="26"/>
      <c r="BU570" s="26"/>
      <c r="BV570" s="26"/>
      <c r="BW570" s="26"/>
      <c r="BX570" s="26"/>
      <c r="BY570" s="26"/>
      <c r="BZ570" s="26"/>
      <c r="CA570" s="26"/>
      <c r="CB570" s="26"/>
      <c r="CC570" s="26"/>
      <c r="CD570" s="26"/>
      <c r="CE570" s="26"/>
      <c r="CF570" s="26"/>
      <c r="CG570" s="26"/>
      <c r="CH570" s="26"/>
      <c r="CI570" s="26"/>
      <c r="CJ570" s="26"/>
      <c r="CK570" s="26"/>
      <c r="CL570" s="26"/>
      <c r="CM570" s="26"/>
      <c r="CN570" s="26"/>
      <c r="CO570" s="26"/>
      <c r="CP570" s="26"/>
      <c r="CQ570" s="26"/>
      <c r="CR570" s="26"/>
      <c r="CS570" s="26"/>
      <c r="CT570" s="26"/>
      <c r="CU570" s="26"/>
      <c r="CV570" s="26"/>
      <c r="CW570" s="26"/>
      <c r="CX570" s="26"/>
      <c r="CY570" s="26"/>
      <c r="CZ570" s="26"/>
      <c r="DA570" s="26"/>
      <c r="DB570" s="26"/>
      <c r="DC570" s="26"/>
      <c r="DD570" s="26"/>
    </row>
    <row r="571" spans="59:108" x14ac:dyDescent="0.2">
      <c r="BG571" s="26"/>
      <c r="BH571" s="26"/>
      <c r="BI571" s="26"/>
      <c r="BJ571" s="26"/>
      <c r="BK571" s="26"/>
      <c r="BL571" s="26"/>
      <c r="BM571" s="26"/>
      <c r="BN571" s="26"/>
      <c r="BO571" s="26"/>
      <c r="BP571" s="26"/>
      <c r="BQ571" s="26"/>
      <c r="BR571" s="26"/>
      <c r="BS571" s="26"/>
      <c r="BT571" s="26"/>
      <c r="BU571" s="26"/>
      <c r="BV571" s="26"/>
      <c r="BW571" s="26"/>
      <c r="BX571" s="26"/>
      <c r="BY571" s="26"/>
      <c r="BZ571" s="26"/>
      <c r="CA571" s="26"/>
      <c r="CB571" s="26"/>
      <c r="CC571" s="26"/>
      <c r="CD571" s="26"/>
      <c r="CE571" s="26"/>
      <c r="CF571" s="26"/>
      <c r="CG571" s="26"/>
      <c r="CH571" s="26"/>
      <c r="CI571" s="26"/>
      <c r="CJ571" s="26"/>
      <c r="CK571" s="26"/>
      <c r="CL571" s="26"/>
      <c r="CM571" s="26"/>
      <c r="CN571" s="26"/>
      <c r="CO571" s="26"/>
      <c r="CP571" s="26"/>
      <c r="CQ571" s="26"/>
      <c r="CR571" s="26"/>
      <c r="CS571" s="26"/>
      <c r="CT571" s="26"/>
      <c r="CU571" s="26"/>
      <c r="CV571" s="26"/>
      <c r="CW571" s="26"/>
      <c r="CX571" s="26"/>
      <c r="CY571" s="26"/>
      <c r="CZ571" s="26"/>
      <c r="DA571" s="26"/>
      <c r="DB571" s="26"/>
      <c r="DC571" s="26"/>
      <c r="DD571" s="26"/>
    </row>
    <row r="572" spans="59:108" x14ac:dyDescent="0.2">
      <c r="BG572" s="26"/>
      <c r="BH572" s="26"/>
      <c r="BI572" s="26"/>
      <c r="BJ572" s="26"/>
      <c r="BK572" s="26"/>
      <c r="BL572" s="26"/>
      <c r="BM572" s="26"/>
      <c r="BN572" s="26"/>
      <c r="BO572" s="26"/>
      <c r="BP572" s="26"/>
      <c r="BQ572" s="26"/>
      <c r="BR572" s="26"/>
      <c r="BS572" s="26"/>
      <c r="BT572" s="26"/>
      <c r="BU572" s="26"/>
      <c r="BV572" s="26"/>
      <c r="BW572" s="26"/>
      <c r="BX572" s="26"/>
      <c r="BY572" s="26"/>
      <c r="BZ572" s="26"/>
      <c r="CA572" s="26"/>
      <c r="CB572" s="26"/>
      <c r="CC572" s="26"/>
      <c r="CD572" s="26"/>
      <c r="CE572" s="26"/>
      <c r="CF572" s="26"/>
      <c r="CG572" s="26"/>
      <c r="CH572" s="26"/>
      <c r="CI572" s="26"/>
      <c r="CJ572" s="26"/>
      <c r="CK572" s="26"/>
      <c r="CL572" s="26"/>
      <c r="CM572" s="26"/>
      <c r="CN572" s="26"/>
      <c r="CO572" s="26"/>
      <c r="CP572" s="26"/>
      <c r="CQ572" s="26"/>
      <c r="CR572" s="26"/>
      <c r="CS572" s="26"/>
      <c r="CT572" s="26"/>
      <c r="CU572" s="26"/>
      <c r="CV572" s="26"/>
      <c r="CW572" s="26"/>
      <c r="CX572" s="26"/>
      <c r="CY572" s="26"/>
      <c r="CZ572" s="26"/>
      <c r="DA572" s="26"/>
      <c r="DB572" s="26"/>
      <c r="DC572" s="26"/>
      <c r="DD572" s="26"/>
    </row>
    <row r="573" spans="59:108" x14ac:dyDescent="0.2">
      <c r="BG573" s="26"/>
      <c r="BH573" s="26"/>
      <c r="BI573" s="26"/>
      <c r="BJ573" s="26"/>
      <c r="BK573" s="26"/>
      <c r="BL573" s="26"/>
      <c r="BM573" s="26"/>
      <c r="BN573" s="26"/>
      <c r="BO573" s="26"/>
      <c r="BP573" s="26"/>
      <c r="BQ573" s="26"/>
      <c r="BR573" s="26"/>
      <c r="BS573" s="26"/>
      <c r="BT573" s="26"/>
      <c r="BU573" s="26"/>
      <c r="BV573" s="26"/>
      <c r="BW573" s="26"/>
      <c r="BX573" s="26"/>
      <c r="BY573" s="26"/>
      <c r="BZ573" s="26"/>
      <c r="CA573" s="26"/>
      <c r="CB573" s="26"/>
      <c r="CC573" s="26"/>
      <c r="CD573" s="26"/>
      <c r="CE573" s="26"/>
      <c r="CF573" s="26"/>
      <c r="CG573" s="26"/>
      <c r="CH573" s="26"/>
      <c r="CI573" s="26"/>
      <c r="CJ573" s="26"/>
      <c r="CK573" s="26"/>
      <c r="CL573" s="26"/>
      <c r="CM573" s="26"/>
      <c r="CN573" s="26"/>
      <c r="CO573" s="26"/>
      <c r="CP573" s="26"/>
      <c r="CQ573" s="26"/>
      <c r="CR573" s="26"/>
      <c r="CS573" s="26"/>
      <c r="CT573" s="26"/>
      <c r="CU573" s="26"/>
      <c r="CV573" s="26"/>
      <c r="CW573" s="26"/>
      <c r="CX573" s="26"/>
      <c r="CY573" s="26"/>
      <c r="CZ573" s="26"/>
      <c r="DA573" s="26"/>
      <c r="DB573" s="26"/>
      <c r="DC573" s="26"/>
      <c r="DD573" s="26"/>
    </row>
    <row r="574" spans="59:108" x14ac:dyDescent="0.2">
      <c r="BG574" s="26"/>
      <c r="BH574" s="26"/>
      <c r="BI574" s="26"/>
      <c r="BJ574" s="26"/>
      <c r="BK574" s="26"/>
      <c r="BL574" s="26"/>
      <c r="BM574" s="26"/>
      <c r="BN574" s="26"/>
      <c r="BO574" s="26"/>
      <c r="BP574" s="26"/>
      <c r="BQ574" s="26"/>
      <c r="BR574" s="26"/>
      <c r="BS574" s="26"/>
      <c r="BT574" s="26"/>
      <c r="BU574" s="26"/>
      <c r="BV574" s="26"/>
      <c r="BW574" s="26"/>
      <c r="BX574" s="26"/>
      <c r="BY574" s="26"/>
      <c r="BZ574" s="26"/>
      <c r="CA574" s="26"/>
      <c r="CB574" s="26"/>
      <c r="CC574" s="26"/>
      <c r="CD574" s="26"/>
      <c r="CE574" s="26"/>
      <c r="CF574" s="26"/>
      <c r="CG574" s="26"/>
      <c r="CH574" s="26"/>
      <c r="CI574" s="26"/>
      <c r="CJ574" s="26"/>
      <c r="CK574" s="26"/>
      <c r="CL574" s="26"/>
      <c r="CM574" s="26"/>
      <c r="CN574" s="26"/>
      <c r="CO574" s="26"/>
      <c r="CP574" s="26"/>
      <c r="CQ574" s="26"/>
      <c r="CR574" s="26"/>
      <c r="CS574" s="26"/>
      <c r="CT574" s="26"/>
      <c r="CU574" s="26"/>
      <c r="CV574" s="26"/>
      <c r="CW574" s="26"/>
      <c r="CX574" s="26"/>
      <c r="CY574" s="26"/>
      <c r="CZ574" s="26"/>
      <c r="DA574" s="26"/>
      <c r="DB574" s="26"/>
      <c r="DC574" s="26"/>
      <c r="DD574" s="26"/>
    </row>
    <row r="575" spans="59:108" x14ac:dyDescent="0.2">
      <c r="BG575" s="26"/>
      <c r="BH575" s="26"/>
      <c r="BI575" s="26"/>
      <c r="BJ575" s="26"/>
      <c r="BK575" s="26"/>
      <c r="BL575" s="26"/>
      <c r="BM575" s="26"/>
      <c r="BN575" s="26"/>
      <c r="BO575" s="26"/>
      <c r="BP575" s="26"/>
      <c r="BQ575" s="26"/>
      <c r="BR575" s="26"/>
      <c r="BS575" s="26"/>
      <c r="BT575" s="26"/>
      <c r="BU575" s="26"/>
      <c r="BV575" s="26"/>
      <c r="BW575" s="26"/>
      <c r="BX575" s="26"/>
      <c r="BY575" s="26"/>
      <c r="BZ575" s="26"/>
      <c r="CA575" s="26"/>
      <c r="CB575" s="26"/>
      <c r="CC575" s="26"/>
      <c r="CD575" s="26"/>
      <c r="CE575" s="26"/>
      <c r="CF575" s="26"/>
      <c r="CG575" s="26"/>
      <c r="CH575" s="26"/>
      <c r="CI575" s="26"/>
      <c r="CJ575" s="26"/>
      <c r="CK575" s="26"/>
      <c r="CL575" s="26"/>
      <c r="CM575" s="26"/>
      <c r="CN575" s="26"/>
      <c r="CO575" s="26"/>
      <c r="CP575" s="26"/>
      <c r="CQ575" s="26"/>
      <c r="CR575" s="26"/>
      <c r="CS575" s="26"/>
      <c r="CT575" s="26"/>
      <c r="CU575" s="26"/>
      <c r="CV575" s="26"/>
      <c r="CW575" s="26"/>
      <c r="CX575" s="26"/>
      <c r="CY575" s="26"/>
      <c r="CZ575" s="26"/>
      <c r="DA575" s="26"/>
      <c r="DB575" s="26"/>
      <c r="DC575" s="26"/>
      <c r="DD575" s="26"/>
    </row>
    <row r="576" spans="59:108" x14ac:dyDescent="0.2">
      <c r="BG576" s="26"/>
      <c r="BH576" s="26"/>
      <c r="BI576" s="26"/>
      <c r="BJ576" s="26"/>
      <c r="BK576" s="26"/>
      <c r="BL576" s="26"/>
      <c r="BM576" s="26"/>
      <c r="BN576" s="26"/>
      <c r="BO576" s="26"/>
      <c r="BP576" s="26"/>
      <c r="BQ576" s="26"/>
      <c r="BR576" s="26"/>
      <c r="BS576" s="26"/>
      <c r="BT576" s="26"/>
      <c r="BU576" s="26"/>
      <c r="BV576" s="26"/>
      <c r="BW576" s="26"/>
      <c r="BX576" s="26"/>
      <c r="BY576" s="26"/>
      <c r="BZ576" s="26"/>
      <c r="CA576" s="26"/>
      <c r="CB576" s="26"/>
      <c r="CC576" s="26"/>
      <c r="CD576" s="26"/>
      <c r="CE576" s="26"/>
      <c r="CF576" s="26"/>
      <c r="CG576" s="26"/>
      <c r="CH576" s="26"/>
      <c r="CI576" s="26"/>
      <c r="CJ576" s="26"/>
      <c r="CK576" s="26"/>
      <c r="CL576" s="26"/>
      <c r="CM576" s="26"/>
      <c r="CN576" s="26"/>
      <c r="CO576" s="26"/>
      <c r="CP576" s="26"/>
      <c r="CQ576" s="26"/>
      <c r="CR576" s="26"/>
      <c r="CS576" s="26"/>
      <c r="CT576" s="26"/>
      <c r="CU576" s="26"/>
      <c r="CV576" s="26"/>
      <c r="CW576" s="26"/>
      <c r="CX576" s="26"/>
      <c r="CY576" s="26"/>
      <c r="CZ576" s="26"/>
      <c r="DA576" s="26"/>
      <c r="DB576" s="26"/>
      <c r="DC576" s="26"/>
      <c r="DD576" s="26"/>
    </row>
    <row r="577" spans="59:108" x14ac:dyDescent="0.2">
      <c r="BG577" s="26"/>
      <c r="BH577" s="26"/>
      <c r="BI577" s="26"/>
      <c r="BJ577" s="26"/>
      <c r="BK577" s="26"/>
      <c r="BL577" s="26"/>
      <c r="BM577" s="26"/>
      <c r="BN577" s="26"/>
      <c r="BO577" s="26"/>
      <c r="BP577" s="26"/>
      <c r="BQ577" s="26"/>
      <c r="BR577" s="26"/>
      <c r="BS577" s="26"/>
      <c r="BT577" s="26"/>
      <c r="BU577" s="26"/>
      <c r="BV577" s="26"/>
      <c r="BW577" s="26"/>
      <c r="BX577" s="26"/>
      <c r="BY577" s="26"/>
      <c r="BZ577" s="26"/>
      <c r="CA577" s="26"/>
      <c r="CB577" s="26"/>
      <c r="CC577" s="26"/>
      <c r="CD577" s="26"/>
      <c r="CE577" s="26"/>
      <c r="CF577" s="26"/>
      <c r="CG577" s="26"/>
      <c r="CH577" s="26"/>
      <c r="CI577" s="26"/>
      <c r="CJ577" s="26"/>
      <c r="CK577" s="26"/>
      <c r="CL577" s="26"/>
      <c r="CM577" s="26"/>
      <c r="CN577" s="26"/>
      <c r="CO577" s="26"/>
      <c r="CP577" s="26"/>
      <c r="CQ577" s="26"/>
      <c r="CR577" s="26"/>
      <c r="CS577" s="26"/>
      <c r="CT577" s="26"/>
      <c r="CU577" s="26"/>
      <c r="CV577" s="26"/>
      <c r="CW577" s="26"/>
      <c r="CX577" s="26"/>
      <c r="CY577" s="26"/>
      <c r="CZ577" s="26"/>
      <c r="DA577" s="26"/>
      <c r="DB577" s="26"/>
      <c r="DC577" s="26"/>
      <c r="DD577" s="26"/>
    </row>
    <row r="578" spans="59:108" x14ac:dyDescent="0.2">
      <c r="BG578" s="26"/>
      <c r="BH578" s="26"/>
      <c r="BI578" s="26"/>
      <c r="BJ578" s="26"/>
      <c r="BK578" s="26"/>
      <c r="BL578" s="26"/>
      <c r="BM578" s="26"/>
      <c r="BN578" s="26"/>
      <c r="BO578" s="26"/>
      <c r="BP578" s="26"/>
      <c r="BQ578" s="26"/>
      <c r="BR578" s="26"/>
      <c r="BS578" s="26"/>
      <c r="BT578" s="26"/>
      <c r="BU578" s="26"/>
      <c r="BV578" s="26"/>
      <c r="BW578" s="26"/>
      <c r="BX578" s="26"/>
      <c r="BY578" s="26"/>
      <c r="BZ578" s="26"/>
      <c r="CA578" s="26"/>
      <c r="CB578" s="26"/>
      <c r="CC578" s="26"/>
      <c r="CD578" s="26"/>
      <c r="CE578" s="26"/>
      <c r="CF578" s="26"/>
      <c r="CG578" s="26"/>
      <c r="CH578" s="26"/>
      <c r="CI578" s="26"/>
      <c r="CJ578" s="26"/>
      <c r="CK578" s="26"/>
      <c r="CL578" s="26"/>
      <c r="CM578" s="26"/>
      <c r="CN578" s="26"/>
      <c r="CO578" s="26"/>
      <c r="CP578" s="26"/>
      <c r="CQ578" s="26"/>
      <c r="CR578" s="26"/>
      <c r="CS578" s="26"/>
      <c r="CT578" s="26"/>
      <c r="CU578" s="26"/>
      <c r="CV578" s="26"/>
      <c r="CW578" s="26"/>
      <c r="CX578" s="26"/>
      <c r="CY578" s="26"/>
      <c r="CZ578" s="26"/>
      <c r="DA578" s="26"/>
      <c r="DB578" s="26"/>
      <c r="DC578" s="26"/>
      <c r="DD578" s="26"/>
    </row>
    <row r="579" spans="59:108" x14ac:dyDescent="0.2">
      <c r="BG579" s="26"/>
      <c r="BH579" s="26"/>
      <c r="BI579" s="26"/>
      <c r="BJ579" s="26"/>
      <c r="BK579" s="26"/>
      <c r="BL579" s="26"/>
      <c r="BM579" s="26"/>
      <c r="BN579" s="26"/>
      <c r="BO579" s="26"/>
      <c r="BP579" s="26"/>
      <c r="BQ579" s="26"/>
      <c r="BR579" s="26"/>
      <c r="BS579" s="26"/>
      <c r="BT579" s="26"/>
      <c r="BU579" s="26"/>
      <c r="BV579" s="26"/>
      <c r="BW579" s="26"/>
      <c r="BX579" s="26"/>
      <c r="BY579" s="26"/>
      <c r="BZ579" s="26"/>
      <c r="CA579" s="26"/>
      <c r="CB579" s="26"/>
      <c r="CC579" s="26"/>
      <c r="CD579" s="26"/>
      <c r="CE579" s="26"/>
      <c r="CF579" s="26"/>
      <c r="CG579" s="26"/>
      <c r="CH579" s="26"/>
      <c r="CI579" s="26"/>
      <c r="CJ579" s="26"/>
      <c r="CK579" s="26"/>
      <c r="CL579" s="26"/>
      <c r="CM579" s="26"/>
      <c r="CN579" s="26"/>
      <c r="CO579" s="26"/>
      <c r="CP579" s="26"/>
      <c r="CQ579" s="26"/>
      <c r="CR579" s="26"/>
      <c r="CS579" s="26"/>
      <c r="CT579" s="26"/>
      <c r="CU579" s="26"/>
      <c r="CV579" s="26"/>
      <c r="CW579" s="26"/>
      <c r="CX579" s="26"/>
      <c r="CY579" s="26"/>
      <c r="CZ579" s="26"/>
      <c r="DA579" s="26"/>
      <c r="DB579" s="26"/>
      <c r="DC579" s="26"/>
      <c r="DD579" s="26"/>
    </row>
    <row r="580" spans="59:108" x14ac:dyDescent="0.2">
      <c r="BG580" s="26"/>
      <c r="BH580" s="26"/>
      <c r="BI580" s="26"/>
      <c r="BJ580" s="26"/>
      <c r="BK580" s="26"/>
      <c r="BL580" s="26"/>
      <c r="BM580" s="26"/>
      <c r="BN580" s="26"/>
      <c r="BO580" s="26"/>
      <c r="BP580" s="26"/>
      <c r="BQ580" s="26"/>
      <c r="BR580" s="26"/>
      <c r="BS580" s="26"/>
      <c r="BT580" s="26"/>
      <c r="BU580" s="26"/>
      <c r="BV580" s="26"/>
      <c r="BW580" s="26"/>
      <c r="BX580" s="26"/>
      <c r="BY580" s="26"/>
      <c r="BZ580" s="26"/>
      <c r="CA580" s="26"/>
      <c r="CB580" s="26"/>
      <c r="CC580" s="26"/>
      <c r="CD580" s="26"/>
      <c r="CE580" s="26"/>
      <c r="CF580" s="26"/>
      <c r="CG580" s="26"/>
      <c r="CH580" s="26"/>
      <c r="CI580" s="26"/>
      <c r="CJ580" s="26"/>
      <c r="CK580" s="26"/>
      <c r="CL580" s="26"/>
      <c r="CM580" s="26"/>
      <c r="CN580" s="26"/>
      <c r="CO580" s="26"/>
      <c r="CP580" s="26"/>
      <c r="CQ580" s="26"/>
      <c r="CR580" s="26"/>
      <c r="CS580" s="26"/>
      <c r="CT580" s="26"/>
      <c r="CU580" s="26"/>
      <c r="CV580" s="26"/>
      <c r="CW580" s="26"/>
      <c r="CX580" s="26"/>
      <c r="CY580" s="26"/>
      <c r="CZ580" s="26"/>
      <c r="DA580" s="26"/>
      <c r="DB580" s="26"/>
      <c r="DC580" s="26"/>
      <c r="DD580" s="26"/>
    </row>
    <row r="581" spans="59:108" x14ac:dyDescent="0.2">
      <c r="BG581" s="26"/>
      <c r="BH581" s="26"/>
      <c r="BI581" s="26"/>
      <c r="BJ581" s="26"/>
      <c r="BK581" s="26"/>
      <c r="BL581" s="26"/>
      <c r="BM581" s="26"/>
      <c r="BN581" s="26"/>
      <c r="BO581" s="26"/>
      <c r="BP581" s="26"/>
      <c r="BQ581" s="26"/>
      <c r="BR581" s="26"/>
      <c r="BS581" s="26"/>
      <c r="BT581" s="26"/>
      <c r="BU581" s="26"/>
      <c r="BV581" s="26"/>
      <c r="BW581" s="26"/>
      <c r="BX581" s="26"/>
      <c r="BY581" s="26"/>
      <c r="BZ581" s="26"/>
      <c r="CA581" s="26"/>
      <c r="CB581" s="26"/>
      <c r="CC581" s="26"/>
      <c r="CD581" s="26"/>
      <c r="CE581" s="26"/>
      <c r="CF581" s="26"/>
      <c r="CG581" s="26"/>
      <c r="CH581" s="26"/>
      <c r="CI581" s="26"/>
      <c r="CJ581" s="26"/>
      <c r="CK581" s="26"/>
      <c r="CL581" s="26"/>
      <c r="CM581" s="26"/>
      <c r="CN581" s="26"/>
      <c r="CO581" s="26"/>
      <c r="CP581" s="26"/>
      <c r="CQ581" s="26"/>
      <c r="CR581" s="26"/>
      <c r="CS581" s="26"/>
      <c r="CT581" s="26"/>
      <c r="CU581" s="26"/>
      <c r="CV581" s="26"/>
      <c r="CW581" s="26"/>
      <c r="CX581" s="26"/>
      <c r="CY581" s="26"/>
      <c r="CZ581" s="26"/>
      <c r="DA581" s="26"/>
      <c r="DB581" s="26"/>
      <c r="DC581" s="26"/>
      <c r="DD581" s="26"/>
    </row>
    <row r="582" spans="59:108" x14ac:dyDescent="0.2">
      <c r="BG582" s="26"/>
      <c r="BH582" s="26"/>
      <c r="BI582" s="26"/>
      <c r="BJ582" s="26"/>
      <c r="BK582" s="26"/>
      <c r="BL582" s="26"/>
      <c r="BM582" s="26"/>
      <c r="BN582" s="26"/>
      <c r="BO582" s="26"/>
      <c r="BP582" s="26"/>
      <c r="BQ582" s="26"/>
      <c r="BR582" s="26"/>
      <c r="BS582" s="26"/>
      <c r="BT582" s="26"/>
      <c r="BU582" s="26"/>
      <c r="BV582" s="26"/>
      <c r="BW582" s="26"/>
      <c r="BX582" s="26"/>
      <c r="BY582" s="26"/>
      <c r="BZ582" s="26"/>
      <c r="CA582" s="26"/>
      <c r="CB582" s="26"/>
      <c r="CC582" s="26"/>
      <c r="CD582" s="26"/>
      <c r="CE582" s="26"/>
      <c r="CF582" s="26"/>
      <c r="CG582" s="26"/>
      <c r="CH582" s="26"/>
      <c r="CI582" s="26"/>
      <c r="CJ582" s="26"/>
      <c r="CK582" s="26"/>
      <c r="CL582" s="26"/>
      <c r="CM582" s="26"/>
      <c r="CN582" s="26"/>
      <c r="CO582" s="26"/>
      <c r="CP582" s="26"/>
      <c r="CQ582" s="26"/>
      <c r="CR582" s="26"/>
      <c r="CS582" s="26"/>
      <c r="CT582" s="26"/>
      <c r="CU582" s="26"/>
      <c r="CV582" s="26"/>
      <c r="CW582" s="26"/>
      <c r="CX582" s="26"/>
      <c r="CY582" s="26"/>
      <c r="CZ582" s="26"/>
      <c r="DA582" s="26"/>
      <c r="DB582" s="26"/>
      <c r="DC582" s="26"/>
      <c r="DD582" s="26"/>
    </row>
    <row r="583" spans="59:108" x14ac:dyDescent="0.2">
      <c r="BG583" s="26"/>
      <c r="BH583" s="26"/>
      <c r="BI583" s="26"/>
      <c r="BJ583" s="26"/>
      <c r="BK583" s="26"/>
      <c r="BL583" s="26"/>
      <c r="BM583" s="26"/>
      <c r="BN583" s="26"/>
      <c r="BO583" s="26"/>
      <c r="BP583" s="26"/>
      <c r="BQ583" s="26"/>
      <c r="BR583" s="26"/>
      <c r="BS583" s="26"/>
      <c r="BT583" s="26"/>
      <c r="BU583" s="26"/>
      <c r="BV583" s="26"/>
      <c r="BW583" s="26"/>
      <c r="BX583" s="26"/>
      <c r="BY583" s="26"/>
      <c r="BZ583" s="26"/>
      <c r="CA583" s="26"/>
      <c r="CB583" s="26"/>
      <c r="CC583" s="26"/>
      <c r="CD583" s="26"/>
      <c r="CE583" s="26"/>
      <c r="CF583" s="26"/>
      <c r="CG583" s="26"/>
      <c r="CH583" s="26"/>
      <c r="CI583" s="26"/>
      <c r="CJ583" s="26"/>
      <c r="CK583" s="26"/>
      <c r="CL583" s="26"/>
      <c r="CM583" s="26"/>
      <c r="CN583" s="26"/>
      <c r="CO583" s="26"/>
      <c r="CP583" s="26"/>
      <c r="CQ583" s="26"/>
      <c r="CR583" s="26"/>
      <c r="CS583" s="26"/>
      <c r="CT583" s="26"/>
      <c r="CU583" s="26"/>
      <c r="CV583" s="26"/>
      <c r="CW583" s="26"/>
      <c r="CX583" s="26"/>
      <c r="CY583" s="26"/>
      <c r="CZ583" s="26"/>
      <c r="DA583" s="26"/>
      <c r="DB583" s="26"/>
      <c r="DC583" s="26"/>
      <c r="DD583" s="26"/>
    </row>
    <row r="584" spans="59:108" x14ac:dyDescent="0.2">
      <c r="BG584" s="26"/>
      <c r="BH584" s="26"/>
      <c r="BI584" s="26"/>
      <c r="BJ584" s="26"/>
      <c r="BK584" s="26"/>
      <c r="BL584" s="26"/>
      <c r="BM584" s="26"/>
      <c r="BN584" s="26"/>
      <c r="BO584" s="26"/>
      <c r="BP584" s="26"/>
      <c r="BQ584" s="26"/>
      <c r="BR584" s="26"/>
      <c r="BS584" s="26"/>
      <c r="BT584" s="26"/>
      <c r="BU584" s="26"/>
      <c r="BV584" s="26"/>
      <c r="BW584" s="26"/>
      <c r="BX584" s="26"/>
      <c r="BY584" s="26"/>
      <c r="BZ584" s="26"/>
      <c r="CA584" s="26"/>
      <c r="CB584" s="26"/>
      <c r="CC584" s="26"/>
      <c r="CD584" s="26"/>
      <c r="CE584" s="26"/>
      <c r="CF584" s="26"/>
      <c r="CG584" s="26"/>
      <c r="CH584" s="26"/>
      <c r="CI584" s="26"/>
      <c r="CJ584" s="26"/>
      <c r="CK584" s="26"/>
      <c r="CL584" s="26"/>
      <c r="CM584" s="26"/>
      <c r="CN584" s="26"/>
      <c r="CO584" s="26"/>
      <c r="CP584" s="26"/>
      <c r="CQ584" s="26"/>
      <c r="CR584" s="26"/>
      <c r="CS584" s="26"/>
      <c r="CT584" s="26"/>
      <c r="CU584" s="26"/>
      <c r="CV584" s="26"/>
      <c r="CW584" s="26"/>
      <c r="CX584" s="26"/>
      <c r="CY584" s="26"/>
      <c r="CZ584" s="26"/>
      <c r="DA584" s="26"/>
      <c r="DB584" s="26"/>
      <c r="DC584" s="26"/>
      <c r="DD584" s="26"/>
    </row>
    <row r="585" spans="59:108" x14ac:dyDescent="0.2">
      <c r="BG585" s="26"/>
      <c r="BH585" s="26"/>
      <c r="BI585" s="26"/>
      <c r="BJ585" s="26"/>
      <c r="BK585" s="26"/>
      <c r="BL585" s="26"/>
      <c r="BM585" s="26"/>
      <c r="BN585" s="26"/>
      <c r="BO585" s="26"/>
      <c r="BP585" s="26"/>
      <c r="BQ585" s="26"/>
      <c r="BR585" s="26"/>
      <c r="BS585" s="26"/>
      <c r="BT585" s="26"/>
      <c r="BU585" s="26"/>
      <c r="BV585" s="26"/>
      <c r="BW585" s="26"/>
      <c r="BX585" s="26"/>
      <c r="BY585" s="26"/>
      <c r="BZ585" s="26"/>
      <c r="CA585" s="26"/>
      <c r="CB585" s="26"/>
      <c r="CC585" s="26"/>
      <c r="CD585" s="26"/>
      <c r="CE585" s="26"/>
      <c r="CF585" s="26"/>
      <c r="CG585" s="26"/>
      <c r="CH585" s="26"/>
      <c r="CI585" s="26"/>
      <c r="CJ585" s="26"/>
      <c r="CK585" s="26"/>
      <c r="CL585" s="26"/>
      <c r="CM585" s="26"/>
      <c r="CN585" s="26"/>
      <c r="CO585" s="26"/>
      <c r="CP585" s="26"/>
      <c r="CQ585" s="26"/>
      <c r="CR585" s="26"/>
      <c r="CS585" s="26"/>
      <c r="CT585" s="26"/>
      <c r="CU585" s="26"/>
      <c r="CV585" s="26"/>
      <c r="CW585" s="26"/>
      <c r="CX585" s="26"/>
      <c r="CY585" s="26"/>
      <c r="CZ585" s="26"/>
      <c r="DA585" s="26"/>
      <c r="DB585" s="26"/>
      <c r="DC585" s="26"/>
      <c r="DD585" s="26"/>
    </row>
    <row r="586" spans="59:108" x14ac:dyDescent="0.2">
      <c r="BG586" s="26"/>
      <c r="BH586" s="26"/>
      <c r="BI586" s="26"/>
      <c r="BJ586" s="26"/>
      <c r="BK586" s="26"/>
      <c r="BL586" s="26"/>
      <c r="BM586" s="26"/>
      <c r="BN586" s="26"/>
      <c r="BO586" s="26"/>
      <c r="BP586" s="26"/>
      <c r="BQ586" s="26"/>
      <c r="BR586" s="26"/>
      <c r="BS586" s="26"/>
      <c r="BT586" s="26"/>
      <c r="BU586" s="26"/>
      <c r="BV586" s="26"/>
      <c r="BW586" s="26"/>
      <c r="BX586" s="26"/>
      <c r="BY586" s="26"/>
      <c r="BZ586" s="26"/>
      <c r="CA586" s="26"/>
      <c r="CB586" s="26"/>
      <c r="CC586" s="26"/>
      <c r="CD586" s="26"/>
      <c r="CE586" s="26"/>
      <c r="CF586" s="26"/>
      <c r="CG586" s="26"/>
      <c r="CH586" s="26"/>
      <c r="CI586" s="26"/>
      <c r="CJ586" s="26"/>
      <c r="CK586" s="26"/>
      <c r="CL586" s="26"/>
      <c r="CM586" s="26"/>
      <c r="CN586" s="26"/>
      <c r="CO586" s="26"/>
      <c r="CP586" s="26"/>
      <c r="CQ586" s="26"/>
      <c r="CR586" s="26"/>
      <c r="CS586" s="26"/>
      <c r="CT586" s="26"/>
      <c r="CU586" s="26"/>
      <c r="CV586" s="26"/>
      <c r="CW586" s="26"/>
      <c r="CX586" s="26"/>
      <c r="CY586" s="26"/>
      <c r="CZ586" s="26"/>
      <c r="DA586" s="26"/>
      <c r="DB586" s="26"/>
      <c r="DC586" s="26"/>
      <c r="DD586" s="26"/>
    </row>
    <row r="587" spans="59:108" x14ac:dyDescent="0.2">
      <c r="BG587" s="26"/>
      <c r="BH587" s="26"/>
      <c r="BI587" s="26"/>
      <c r="BJ587" s="26"/>
      <c r="BK587" s="26"/>
      <c r="BL587" s="26"/>
      <c r="BM587" s="26"/>
      <c r="BN587" s="26"/>
      <c r="BO587" s="26"/>
      <c r="BP587" s="26"/>
      <c r="BQ587" s="26"/>
      <c r="BR587" s="26"/>
      <c r="BS587" s="26"/>
      <c r="BT587" s="26"/>
      <c r="BU587" s="26"/>
      <c r="BV587" s="26"/>
      <c r="BW587" s="26"/>
      <c r="BX587" s="26"/>
      <c r="BY587" s="26"/>
      <c r="BZ587" s="26"/>
      <c r="CA587" s="26"/>
      <c r="CB587" s="26"/>
      <c r="CC587" s="26"/>
      <c r="CD587" s="26"/>
      <c r="CE587" s="26"/>
      <c r="CF587" s="26"/>
      <c r="CG587" s="26"/>
      <c r="CH587" s="26"/>
      <c r="CI587" s="26"/>
      <c r="CJ587" s="26"/>
      <c r="CK587" s="26"/>
      <c r="CL587" s="26"/>
      <c r="CM587" s="26"/>
      <c r="CN587" s="26"/>
      <c r="CO587" s="26"/>
      <c r="CP587" s="26"/>
      <c r="CQ587" s="26"/>
      <c r="CR587" s="26"/>
      <c r="CS587" s="26"/>
      <c r="CT587" s="26"/>
      <c r="CU587" s="26"/>
      <c r="CV587" s="26"/>
      <c r="CW587" s="26"/>
      <c r="CX587" s="26"/>
      <c r="CY587" s="26"/>
      <c r="CZ587" s="26"/>
      <c r="DA587" s="26"/>
      <c r="DB587" s="26"/>
      <c r="DC587" s="26"/>
      <c r="DD587" s="26"/>
    </row>
    <row r="588" spans="59:108" x14ac:dyDescent="0.2">
      <c r="BG588" s="26"/>
      <c r="BH588" s="26"/>
      <c r="BI588" s="26"/>
      <c r="BJ588" s="26"/>
      <c r="BK588" s="26"/>
      <c r="BL588" s="26"/>
      <c r="BM588" s="26"/>
      <c r="BN588" s="26"/>
      <c r="BO588" s="26"/>
      <c r="BP588" s="26"/>
      <c r="BQ588" s="26"/>
      <c r="BR588" s="26"/>
      <c r="BS588" s="26"/>
      <c r="BT588" s="26"/>
      <c r="BU588" s="26"/>
      <c r="BV588" s="26"/>
      <c r="BW588" s="26"/>
      <c r="BX588" s="26"/>
      <c r="BY588" s="26"/>
      <c r="BZ588" s="26"/>
      <c r="CA588" s="26"/>
      <c r="CB588" s="26"/>
      <c r="CC588" s="26"/>
      <c r="CD588" s="26"/>
      <c r="CE588" s="26"/>
      <c r="CF588" s="26"/>
      <c r="CG588" s="26"/>
      <c r="CH588" s="26"/>
      <c r="CI588" s="26"/>
      <c r="CJ588" s="26"/>
      <c r="CK588" s="26"/>
      <c r="CL588" s="26"/>
      <c r="CM588" s="26"/>
      <c r="CN588" s="26"/>
      <c r="CO588" s="26"/>
      <c r="CP588" s="26"/>
      <c r="CQ588" s="26"/>
      <c r="CR588" s="26"/>
      <c r="CS588" s="26"/>
      <c r="CT588" s="26"/>
      <c r="CU588" s="26"/>
      <c r="CV588" s="26"/>
      <c r="CW588" s="26"/>
      <c r="CX588" s="26"/>
      <c r="CY588" s="26"/>
      <c r="CZ588" s="26"/>
      <c r="DA588" s="26"/>
      <c r="DB588" s="26"/>
      <c r="DC588" s="26"/>
      <c r="DD588" s="26"/>
    </row>
    <row r="589" spans="59:108" x14ac:dyDescent="0.2">
      <c r="BG589" s="26"/>
      <c r="BH589" s="26"/>
      <c r="BI589" s="26"/>
      <c r="BJ589" s="26"/>
      <c r="BK589" s="26"/>
      <c r="BL589" s="26"/>
      <c r="BM589" s="26"/>
      <c r="BN589" s="26"/>
      <c r="BO589" s="26"/>
      <c r="BP589" s="26"/>
      <c r="BQ589" s="26"/>
      <c r="BR589" s="26"/>
      <c r="BS589" s="26"/>
      <c r="BT589" s="26"/>
      <c r="BU589" s="26"/>
      <c r="BV589" s="26"/>
      <c r="BW589" s="26"/>
      <c r="BX589" s="26"/>
      <c r="BY589" s="26"/>
      <c r="BZ589" s="26"/>
      <c r="CA589" s="26"/>
      <c r="CB589" s="26"/>
      <c r="CC589" s="26"/>
      <c r="CD589" s="26"/>
      <c r="CE589" s="26"/>
      <c r="CF589" s="26"/>
      <c r="CG589" s="26"/>
      <c r="CH589" s="26"/>
      <c r="CI589" s="26"/>
      <c r="CJ589" s="26"/>
      <c r="CK589" s="26"/>
      <c r="CL589" s="26"/>
      <c r="CM589" s="26"/>
      <c r="CN589" s="26"/>
      <c r="CO589" s="26"/>
      <c r="CP589" s="26"/>
      <c r="CQ589" s="26"/>
      <c r="CR589" s="26"/>
      <c r="CS589" s="26"/>
      <c r="CT589" s="26"/>
      <c r="CU589" s="26"/>
      <c r="CV589" s="26"/>
      <c r="CW589" s="26"/>
      <c r="CX589" s="26"/>
      <c r="CY589" s="26"/>
      <c r="CZ589" s="26"/>
      <c r="DA589" s="26"/>
      <c r="DB589" s="26"/>
      <c r="DC589" s="26"/>
      <c r="DD589" s="26"/>
    </row>
    <row r="590" spans="59:108" x14ac:dyDescent="0.2">
      <c r="BG590" s="26"/>
      <c r="BH590" s="26"/>
      <c r="BI590" s="26"/>
      <c r="BJ590" s="26"/>
      <c r="BK590" s="26"/>
      <c r="BL590" s="26"/>
      <c r="BM590" s="26"/>
      <c r="BN590" s="26"/>
      <c r="BO590" s="26"/>
      <c r="BP590" s="26"/>
      <c r="BQ590" s="26"/>
      <c r="BR590" s="26"/>
      <c r="BS590" s="26"/>
      <c r="BT590" s="26"/>
      <c r="BU590" s="26"/>
      <c r="BV590" s="26"/>
      <c r="BW590" s="26"/>
      <c r="BX590" s="26"/>
      <c r="BY590" s="26"/>
      <c r="BZ590" s="26"/>
      <c r="CA590" s="26"/>
      <c r="CB590" s="26"/>
      <c r="CC590" s="26"/>
      <c r="CD590" s="26"/>
      <c r="CE590" s="26"/>
      <c r="CF590" s="26"/>
      <c r="CG590" s="26"/>
      <c r="CH590" s="26"/>
      <c r="CI590" s="26"/>
      <c r="CJ590" s="26"/>
      <c r="CK590" s="26"/>
      <c r="CL590" s="26"/>
      <c r="CM590" s="26"/>
      <c r="CN590" s="26"/>
      <c r="CO590" s="26"/>
      <c r="CP590" s="26"/>
      <c r="CQ590" s="26"/>
      <c r="CR590" s="26"/>
      <c r="CS590" s="26"/>
      <c r="CT590" s="26"/>
      <c r="CU590" s="26"/>
      <c r="CV590" s="26"/>
      <c r="CW590" s="26"/>
      <c r="CX590" s="26"/>
      <c r="CY590" s="26"/>
      <c r="CZ590" s="26"/>
      <c r="DA590" s="26"/>
      <c r="DB590" s="26"/>
      <c r="DC590" s="26"/>
      <c r="DD590" s="26"/>
    </row>
    <row r="591" spans="59:108" x14ac:dyDescent="0.2">
      <c r="BG591" s="26"/>
      <c r="BH591" s="26"/>
      <c r="BI591" s="26"/>
      <c r="BJ591" s="26"/>
      <c r="BK591" s="26"/>
      <c r="BL591" s="26"/>
      <c r="BM591" s="26"/>
      <c r="BN591" s="26"/>
      <c r="BO591" s="26"/>
      <c r="BP591" s="26"/>
      <c r="BQ591" s="26"/>
      <c r="BR591" s="26"/>
      <c r="BS591" s="26"/>
      <c r="BT591" s="26"/>
      <c r="BU591" s="26"/>
      <c r="BV591" s="26"/>
      <c r="BW591" s="26"/>
      <c r="BX591" s="26"/>
      <c r="BY591" s="26"/>
      <c r="BZ591" s="26"/>
      <c r="CA591" s="26"/>
      <c r="CB591" s="26"/>
      <c r="CC591" s="26"/>
      <c r="CD591" s="26"/>
      <c r="CE591" s="26"/>
      <c r="CF591" s="26"/>
      <c r="CG591" s="26"/>
      <c r="CH591" s="26"/>
      <c r="CI591" s="26"/>
      <c r="CJ591" s="26"/>
      <c r="CK591" s="26"/>
      <c r="CL591" s="26"/>
      <c r="CM591" s="26"/>
      <c r="CN591" s="26"/>
      <c r="CO591" s="26"/>
      <c r="CP591" s="26"/>
      <c r="CQ591" s="26"/>
      <c r="CR591" s="26"/>
      <c r="CS591" s="26"/>
      <c r="CT591" s="26"/>
      <c r="CU591" s="26"/>
      <c r="CV591" s="26"/>
      <c r="CW591" s="26"/>
      <c r="CX591" s="26"/>
      <c r="CY591" s="26"/>
      <c r="CZ591" s="26"/>
      <c r="DA591" s="26"/>
      <c r="DB591" s="26"/>
      <c r="DC591" s="26"/>
      <c r="DD591" s="26"/>
    </row>
    <row r="592" spans="59:108" x14ac:dyDescent="0.2">
      <c r="BG592" s="26"/>
      <c r="BH592" s="26"/>
      <c r="BI592" s="26"/>
      <c r="BJ592" s="26"/>
      <c r="BK592" s="26"/>
      <c r="BL592" s="26"/>
      <c r="BM592" s="26"/>
      <c r="BN592" s="26"/>
      <c r="BO592" s="26"/>
      <c r="BP592" s="26"/>
      <c r="BQ592" s="26"/>
      <c r="BR592" s="26"/>
      <c r="BS592" s="26"/>
      <c r="BT592" s="26"/>
      <c r="BU592" s="26"/>
      <c r="BV592" s="26"/>
      <c r="BW592" s="26"/>
      <c r="BX592" s="26"/>
      <c r="BY592" s="26"/>
      <c r="BZ592" s="26"/>
      <c r="CA592" s="26"/>
      <c r="CB592" s="26"/>
      <c r="CC592" s="26"/>
      <c r="CD592" s="26"/>
      <c r="CE592" s="26"/>
      <c r="CF592" s="26"/>
      <c r="CG592" s="26"/>
      <c r="CH592" s="26"/>
      <c r="CI592" s="26"/>
      <c r="CJ592" s="26"/>
      <c r="CK592" s="26"/>
      <c r="CL592" s="26"/>
      <c r="CM592" s="26"/>
      <c r="CN592" s="26"/>
      <c r="CO592" s="26"/>
      <c r="CP592" s="26"/>
      <c r="CQ592" s="26"/>
      <c r="CR592" s="26"/>
      <c r="CS592" s="26"/>
      <c r="CT592" s="26"/>
      <c r="CU592" s="26"/>
      <c r="CV592" s="26"/>
      <c r="CW592" s="26"/>
      <c r="CX592" s="26"/>
      <c r="CY592" s="26"/>
      <c r="CZ592" s="26"/>
      <c r="DA592" s="26"/>
      <c r="DB592" s="26"/>
      <c r="DC592" s="26"/>
      <c r="DD592" s="26"/>
    </row>
    <row r="593" spans="59:108" x14ac:dyDescent="0.2">
      <c r="BG593" s="26"/>
      <c r="BH593" s="26"/>
      <c r="BI593" s="26"/>
      <c r="BJ593" s="26"/>
      <c r="BK593" s="26"/>
      <c r="BL593" s="26"/>
      <c r="BM593" s="26"/>
      <c r="BN593" s="26"/>
      <c r="BO593" s="26"/>
      <c r="BP593" s="26"/>
      <c r="BQ593" s="26"/>
      <c r="BR593" s="26"/>
      <c r="BS593" s="26"/>
      <c r="BT593" s="26"/>
      <c r="BU593" s="26"/>
      <c r="BV593" s="26"/>
      <c r="BW593" s="26"/>
      <c r="BX593" s="26"/>
      <c r="BY593" s="26"/>
      <c r="BZ593" s="26"/>
      <c r="CA593" s="26"/>
      <c r="CB593" s="26"/>
      <c r="CC593" s="26"/>
      <c r="CD593" s="26"/>
      <c r="CE593" s="26"/>
      <c r="CF593" s="26"/>
      <c r="CG593" s="26"/>
      <c r="CH593" s="26"/>
      <c r="CI593" s="26"/>
      <c r="CJ593" s="26"/>
      <c r="CK593" s="26"/>
      <c r="CL593" s="26"/>
      <c r="CM593" s="26"/>
      <c r="CN593" s="26"/>
      <c r="CO593" s="26"/>
      <c r="CP593" s="26"/>
      <c r="CQ593" s="26"/>
      <c r="CR593" s="26"/>
      <c r="CS593" s="26"/>
      <c r="CT593" s="26"/>
      <c r="CU593" s="26"/>
      <c r="CV593" s="26"/>
      <c r="CW593" s="26"/>
      <c r="CX593" s="26"/>
      <c r="CY593" s="26"/>
      <c r="CZ593" s="26"/>
      <c r="DA593" s="26"/>
      <c r="DB593" s="26"/>
      <c r="DC593" s="26"/>
      <c r="DD593" s="26"/>
    </row>
    <row r="594" spans="59:108" x14ac:dyDescent="0.2">
      <c r="BG594" s="26"/>
      <c r="BH594" s="26"/>
      <c r="BI594" s="26"/>
      <c r="BJ594" s="26"/>
      <c r="BK594" s="26"/>
      <c r="BL594" s="26"/>
      <c r="BM594" s="26"/>
      <c r="BN594" s="26"/>
      <c r="BO594" s="26"/>
      <c r="BP594" s="26"/>
      <c r="BQ594" s="26"/>
      <c r="BR594" s="26"/>
      <c r="BS594" s="26"/>
      <c r="BT594" s="26"/>
      <c r="BU594" s="26"/>
      <c r="BV594" s="26"/>
      <c r="BW594" s="26"/>
      <c r="BX594" s="26"/>
      <c r="BY594" s="26"/>
      <c r="BZ594" s="26"/>
      <c r="CA594" s="26"/>
      <c r="CB594" s="26"/>
      <c r="CC594" s="26"/>
      <c r="CD594" s="26"/>
      <c r="CE594" s="26"/>
      <c r="CF594" s="26"/>
      <c r="CG594" s="26"/>
      <c r="CH594" s="26"/>
      <c r="CI594" s="26"/>
      <c r="CJ594" s="26"/>
      <c r="CK594" s="26"/>
      <c r="CL594" s="26"/>
      <c r="CM594" s="26"/>
      <c r="CN594" s="26"/>
      <c r="CO594" s="26"/>
      <c r="CP594" s="26"/>
      <c r="CQ594" s="26"/>
      <c r="CR594" s="26"/>
      <c r="CS594" s="26"/>
      <c r="CT594" s="26"/>
      <c r="CU594" s="26"/>
      <c r="CV594" s="26"/>
      <c r="CW594" s="26"/>
      <c r="CX594" s="26"/>
      <c r="CY594" s="26"/>
      <c r="CZ594" s="26"/>
      <c r="DA594" s="26"/>
      <c r="DB594" s="26"/>
      <c r="DC594" s="26"/>
      <c r="DD594" s="26"/>
    </row>
    <row r="595" spans="59:108" x14ac:dyDescent="0.2">
      <c r="BG595" s="26"/>
      <c r="BH595" s="26"/>
      <c r="BI595" s="26"/>
      <c r="BJ595" s="26"/>
      <c r="BK595" s="26"/>
      <c r="BL595" s="26"/>
      <c r="BM595" s="26"/>
      <c r="BN595" s="26"/>
      <c r="BO595" s="26"/>
      <c r="BP595" s="26"/>
      <c r="BQ595" s="26"/>
      <c r="BR595" s="26"/>
      <c r="BS595" s="26"/>
      <c r="BT595" s="26"/>
      <c r="BU595" s="26"/>
      <c r="BV595" s="26"/>
      <c r="BW595" s="26"/>
      <c r="BX595" s="26"/>
      <c r="BY595" s="26"/>
      <c r="BZ595" s="26"/>
      <c r="CA595" s="26"/>
      <c r="CB595" s="26"/>
      <c r="CC595" s="26"/>
      <c r="CD595" s="26"/>
      <c r="CE595" s="26"/>
      <c r="CF595" s="26"/>
      <c r="CG595" s="26"/>
      <c r="CH595" s="26"/>
      <c r="CI595" s="26"/>
      <c r="CJ595" s="26"/>
      <c r="CK595" s="26"/>
      <c r="CL595" s="26"/>
      <c r="CM595" s="26"/>
      <c r="CN595" s="26"/>
      <c r="CO595" s="26"/>
      <c r="CP595" s="26"/>
      <c r="CQ595" s="26"/>
      <c r="CR595" s="26"/>
      <c r="CS595" s="26"/>
      <c r="CT595" s="26"/>
      <c r="CU595" s="26"/>
      <c r="CV595" s="26"/>
      <c r="CW595" s="26"/>
      <c r="CX595" s="26"/>
      <c r="CY595" s="26"/>
      <c r="CZ595" s="26"/>
      <c r="DA595" s="26"/>
      <c r="DB595" s="26"/>
      <c r="DC595" s="26"/>
      <c r="DD595" s="26"/>
    </row>
    <row r="596" spans="59:108" x14ac:dyDescent="0.2">
      <c r="BG596" s="26"/>
      <c r="BH596" s="26"/>
      <c r="BI596" s="26"/>
      <c r="BJ596" s="26"/>
      <c r="BK596" s="26"/>
      <c r="BL596" s="26"/>
      <c r="BM596" s="26"/>
      <c r="BN596" s="26"/>
      <c r="BO596" s="26"/>
      <c r="BP596" s="26"/>
      <c r="BQ596" s="26"/>
      <c r="BR596" s="26"/>
      <c r="BS596" s="26"/>
      <c r="BT596" s="26"/>
      <c r="BU596" s="26"/>
      <c r="BV596" s="26"/>
      <c r="BW596" s="26"/>
      <c r="BX596" s="26"/>
      <c r="BY596" s="26"/>
      <c r="BZ596" s="26"/>
      <c r="CA596" s="26"/>
      <c r="CB596" s="26"/>
      <c r="CC596" s="26"/>
      <c r="CD596" s="26"/>
      <c r="CE596" s="26"/>
      <c r="CF596" s="26"/>
      <c r="CG596" s="26"/>
      <c r="CH596" s="26"/>
      <c r="CI596" s="26"/>
      <c r="CJ596" s="26"/>
      <c r="CK596" s="26"/>
      <c r="CL596" s="26"/>
      <c r="CM596" s="26"/>
      <c r="CN596" s="26"/>
      <c r="CO596" s="26"/>
      <c r="CP596" s="26"/>
      <c r="CQ596" s="26"/>
      <c r="CR596" s="26"/>
      <c r="CS596" s="26"/>
      <c r="CT596" s="26"/>
      <c r="CU596" s="26"/>
      <c r="CV596" s="26"/>
      <c r="CW596" s="26"/>
      <c r="CX596" s="26"/>
      <c r="CY596" s="26"/>
      <c r="CZ596" s="26"/>
      <c r="DA596" s="26"/>
      <c r="DB596" s="26"/>
      <c r="DC596" s="26"/>
      <c r="DD596" s="26"/>
    </row>
    <row r="597" spans="59:108" x14ac:dyDescent="0.2">
      <c r="BG597" s="26"/>
      <c r="BH597" s="26"/>
      <c r="BI597" s="26"/>
      <c r="BJ597" s="26"/>
      <c r="BK597" s="26"/>
      <c r="BL597" s="26"/>
      <c r="BM597" s="26"/>
      <c r="BN597" s="26"/>
      <c r="BO597" s="26"/>
      <c r="BP597" s="26"/>
      <c r="BQ597" s="26"/>
      <c r="BR597" s="26"/>
      <c r="BS597" s="26"/>
      <c r="BT597" s="26"/>
      <c r="BU597" s="26"/>
      <c r="BV597" s="26"/>
      <c r="BW597" s="26"/>
      <c r="BX597" s="26"/>
      <c r="BY597" s="26"/>
      <c r="BZ597" s="26"/>
      <c r="CA597" s="26"/>
      <c r="CB597" s="26"/>
      <c r="CC597" s="26"/>
      <c r="CD597" s="26"/>
      <c r="CE597" s="26"/>
      <c r="CF597" s="26"/>
      <c r="CG597" s="26"/>
      <c r="CH597" s="26"/>
      <c r="CI597" s="26"/>
      <c r="CJ597" s="26"/>
      <c r="CK597" s="26"/>
      <c r="CL597" s="26"/>
      <c r="CM597" s="26"/>
      <c r="CN597" s="26"/>
      <c r="CO597" s="26"/>
      <c r="CP597" s="26"/>
      <c r="CQ597" s="26"/>
      <c r="CR597" s="26"/>
      <c r="CS597" s="26"/>
      <c r="CT597" s="26"/>
      <c r="CU597" s="26"/>
      <c r="CV597" s="26"/>
      <c r="CW597" s="26"/>
      <c r="CX597" s="26"/>
      <c r="CY597" s="26"/>
      <c r="CZ597" s="26"/>
      <c r="DA597" s="26"/>
      <c r="DB597" s="26"/>
      <c r="DC597" s="26"/>
      <c r="DD597" s="26"/>
    </row>
    <row r="598" spans="59:108" x14ac:dyDescent="0.2">
      <c r="BG598" s="26"/>
      <c r="BH598" s="26"/>
      <c r="BI598" s="26"/>
      <c r="BJ598" s="26"/>
      <c r="BK598" s="26"/>
      <c r="BL598" s="26"/>
      <c r="BM598" s="26"/>
      <c r="BN598" s="26"/>
      <c r="BO598" s="26"/>
      <c r="BP598" s="26"/>
      <c r="BQ598" s="26"/>
      <c r="BR598" s="26"/>
      <c r="BS598" s="26"/>
      <c r="BT598" s="26"/>
      <c r="BU598" s="26"/>
      <c r="BV598" s="26"/>
      <c r="BW598" s="26"/>
      <c r="BX598" s="26"/>
      <c r="BY598" s="26"/>
      <c r="BZ598" s="26"/>
      <c r="CA598" s="26"/>
      <c r="CB598" s="26"/>
      <c r="CC598" s="26"/>
      <c r="CD598" s="26"/>
      <c r="CE598" s="26"/>
      <c r="CF598" s="26"/>
      <c r="CG598" s="26"/>
      <c r="CH598" s="26"/>
      <c r="CI598" s="26"/>
      <c r="CJ598" s="26"/>
      <c r="CK598" s="26"/>
      <c r="CL598" s="26"/>
      <c r="CM598" s="26"/>
      <c r="CN598" s="26"/>
      <c r="CO598" s="26"/>
      <c r="CP598" s="26"/>
      <c r="CQ598" s="26"/>
      <c r="CR598" s="26"/>
      <c r="CS598" s="26"/>
      <c r="CT598" s="26"/>
      <c r="CU598" s="26"/>
      <c r="CV598" s="26"/>
      <c r="CW598" s="26"/>
      <c r="CX598" s="26"/>
      <c r="CY598" s="26"/>
      <c r="CZ598" s="26"/>
      <c r="DA598" s="26"/>
      <c r="DB598" s="26"/>
      <c r="DC598" s="26"/>
      <c r="DD598" s="26"/>
    </row>
    <row r="599" spans="59:108" x14ac:dyDescent="0.2">
      <c r="BG599" s="26"/>
      <c r="BH599" s="26"/>
      <c r="BI599" s="26"/>
      <c r="BJ599" s="26"/>
      <c r="BK599" s="26"/>
      <c r="BL599" s="26"/>
      <c r="BM599" s="26"/>
      <c r="BN599" s="26"/>
      <c r="BO599" s="26"/>
      <c r="BP599" s="26"/>
      <c r="BQ599" s="26"/>
      <c r="BR599" s="26"/>
      <c r="BS599" s="26"/>
      <c r="BT599" s="26"/>
      <c r="BU599" s="26"/>
      <c r="BV599" s="26"/>
      <c r="BW599" s="26"/>
      <c r="BX599" s="26"/>
      <c r="BY599" s="26"/>
      <c r="BZ599" s="26"/>
      <c r="CA599" s="26"/>
      <c r="CB599" s="26"/>
      <c r="CC599" s="26"/>
      <c r="CD599" s="26"/>
      <c r="CE599" s="26"/>
      <c r="CF599" s="26"/>
      <c r="CG599" s="26"/>
      <c r="CH599" s="26"/>
      <c r="CI599" s="26"/>
      <c r="CJ599" s="26"/>
      <c r="CK599" s="26"/>
      <c r="CL599" s="26"/>
      <c r="CM599" s="26"/>
      <c r="CN599" s="26"/>
      <c r="CO599" s="26"/>
      <c r="CP599" s="26"/>
      <c r="CQ599" s="26"/>
      <c r="CR599" s="26"/>
      <c r="CS599" s="26"/>
      <c r="CT599" s="26"/>
      <c r="CU599" s="26"/>
      <c r="CV599" s="26"/>
      <c r="CW599" s="26"/>
      <c r="CX599" s="26"/>
      <c r="CY599" s="26"/>
      <c r="CZ599" s="26"/>
      <c r="DA599" s="26"/>
      <c r="DB599" s="26"/>
      <c r="DC599" s="26"/>
      <c r="DD599" s="26"/>
    </row>
    <row r="600" spans="59:108" x14ac:dyDescent="0.2">
      <c r="BG600" s="26"/>
      <c r="BH600" s="26"/>
      <c r="BI600" s="26"/>
      <c r="BJ600" s="26"/>
      <c r="BK600" s="26"/>
      <c r="BL600" s="26"/>
      <c r="BM600" s="26"/>
      <c r="BN600" s="26"/>
      <c r="BO600" s="26"/>
      <c r="BP600" s="26"/>
      <c r="BQ600" s="26"/>
      <c r="BR600" s="26"/>
      <c r="BS600" s="26"/>
      <c r="BT600" s="26"/>
      <c r="BU600" s="26"/>
      <c r="BV600" s="26"/>
      <c r="BW600" s="26"/>
      <c r="BX600" s="26"/>
      <c r="BY600" s="26"/>
      <c r="BZ600" s="26"/>
      <c r="CA600" s="26"/>
      <c r="CB600" s="26"/>
      <c r="CC600" s="26"/>
      <c r="CD600" s="26"/>
      <c r="CE600" s="26"/>
      <c r="CF600" s="26"/>
      <c r="CG600" s="26"/>
      <c r="CH600" s="26"/>
      <c r="CI600" s="26"/>
      <c r="CJ600" s="26"/>
      <c r="CK600" s="26"/>
      <c r="CL600" s="26"/>
      <c r="CM600" s="26"/>
      <c r="CN600" s="26"/>
      <c r="CO600" s="26"/>
      <c r="CP600" s="26"/>
      <c r="CQ600" s="26"/>
      <c r="CR600" s="26"/>
      <c r="CS600" s="26"/>
      <c r="CT600" s="26"/>
      <c r="CU600" s="26"/>
      <c r="CV600" s="26"/>
      <c r="CW600" s="26"/>
      <c r="CX600" s="26"/>
      <c r="CY600" s="26"/>
      <c r="CZ600" s="26"/>
      <c r="DA600" s="26"/>
      <c r="DB600" s="26"/>
      <c r="DC600" s="26"/>
      <c r="DD600" s="26"/>
    </row>
    <row r="601" spans="59:108" x14ac:dyDescent="0.2">
      <c r="BG601" s="26"/>
      <c r="BH601" s="26"/>
      <c r="BI601" s="26"/>
      <c r="BJ601" s="26"/>
      <c r="BK601" s="26"/>
      <c r="BL601" s="26"/>
      <c r="BM601" s="26"/>
      <c r="BN601" s="26"/>
      <c r="BO601" s="26"/>
      <c r="BP601" s="26"/>
      <c r="BQ601" s="26"/>
      <c r="BR601" s="26"/>
      <c r="BS601" s="26"/>
      <c r="BT601" s="26"/>
      <c r="BU601" s="26"/>
      <c r="BV601" s="26"/>
      <c r="BW601" s="26"/>
      <c r="BX601" s="26"/>
      <c r="BY601" s="26"/>
      <c r="BZ601" s="26"/>
      <c r="CA601" s="26"/>
      <c r="CB601" s="26"/>
      <c r="CC601" s="26"/>
      <c r="CD601" s="26"/>
      <c r="CE601" s="26"/>
      <c r="CF601" s="26"/>
      <c r="CG601" s="26"/>
      <c r="CH601" s="26"/>
      <c r="CI601" s="26"/>
      <c r="CJ601" s="26"/>
      <c r="CK601" s="26"/>
      <c r="CL601" s="26"/>
      <c r="CM601" s="26"/>
      <c r="CN601" s="26"/>
      <c r="CO601" s="26"/>
      <c r="CP601" s="26"/>
      <c r="CQ601" s="26"/>
      <c r="CR601" s="26"/>
      <c r="CS601" s="26"/>
      <c r="CT601" s="26"/>
      <c r="CU601" s="26"/>
      <c r="CV601" s="26"/>
      <c r="CW601" s="26"/>
      <c r="CX601" s="26"/>
      <c r="CY601" s="26"/>
      <c r="CZ601" s="26"/>
      <c r="DA601" s="26"/>
      <c r="DB601" s="26"/>
      <c r="DC601" s="26"/>
      <c r="DD601" s="26"/>
    </row>
    <row r="602" spans="59:108" x14ac:dyDescent="0.2">
      <c r="BG602" s="26"/>
      <c r="BH602" s="26"/>
      <c r="BI602" s="26"/>
      <c r="BJ602" s="26"/>
      <c r="BK602" s="26"/>
      <c r="BL602" s="26"/>
      <c r="BM602" s="26"/>
      <c r="BN602" s="26"/>
      <c r="BO602" s="26"/>
      <c r="BP602" s="26"/>
      <c r="BQ602" s="26"/>
      <c r="BR602" s="26"/>
      <c r="BS602" s="26"/>
      <c r="BT602" s="26"/>
      <c r="BU602" s="26"/>
      <c r="BV602" s="26"/>
      <c r="BW602" s="26"/>
      <c r="BX602" s="26"/>
      <c r="BY602" s="26"/>
      <c r="BZ602" s="26"/>
      <c r="CA602" s="26"/>
      <c r="CB602" s="26"/>
      <c r="CC602" s="26"/>
      <c r="CD602" s="26"/>
      <c r="CE602" s="26"/>
      <c r="CF602" s="26"/>
      <c r="CG602" s="26"/>
      <c r="CH602" s="26"/>
      <c r="CI602" s="26"/>
      <c r="CJ602" s="26"/>
      <c r="CK602" s="26"/>
      <c r="CL602" s="26"/>
      <c r="CM602" s="26"/>
      <c r="CN602" s="26"/>
      <c r="CO602" s="26"/>
      <c r="CP602" s="26"/>
      <c r="CQ602" s="26"/>
      <c r="CR602" s="26"/>
      <c r="CS602" s="26"/>
      <c r="CT602" s="26"/>
      <c r="CU602" s="26"/>
      <c r="CV602" s="26"/>
      <c r="CW602" s="26"/>
      <c r="CX602" s="26"/>
      <c r="CY602" s="26"/>
      <c r="CZ602" s="26"/>
      <c r="DA602" s="26"/>
      <c r="DB602" s="26"/>
      <c r="DC602" s="26"/>
      <c r="DD602" s="26"/>
    </row>
  </sheetData>
  <sortState xmlns:xlrd2="http://schemas.microsoft.com/office/spreadsheetml/2017/richdata2" ref="D4:F17">
    <sortCondition ref="D4:D17"/>
  </sortState>
  <mergeCells count="2">
    <mergeCell ref="D1:F1"/>
    <mergeCell ref="E2:F2"/>
  </mergeCells>
  <pageMargins left="0.7" right="0.7" top="0.75" bottom="0.75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8"/>
  <dimension ref="B1:M506"/>
  <sheetViews>
    <sheetView zoomScaleNormal="100" workbookViewId="0">
      <selection activeCell="G21" sqref="G21"/>
    </sheetView>
  </sheetViews>
  <sheetFormatPr baseColWidth="10" defaultColWidth="8.83203125" defaultRowHeight="15" x14ac:dyDescent="0.2"/>
  <cols>
    <col min="1" max="1" width="2.83203125" customWidth="1"/>
    <col min="2" max="2" width="11.6640625" style="27" customWidth="1"/>
    <col min="3" max="3" width="9.1640625" style="27"/>
    <col min="4" max="4" width="10.1640625" customWidth="1"/>
    <col min="6" max="6" width="11.5" bestFit="1" customWidth="1"/>
    <col min="7" max="7" width="12.83203125" customWidth="1"/>
    <col min="9" max="9" width="10.5" customWidth="1"/>
    <col min="10" max="10" width="8.5" customWidth="1"/>
    <col min="11" max="11" width="12.33203125" bestFit="1" customWidth="1"/>
  </cols>
  <sheetData>
    <row r="1" spans="2:13" x14ac:dyDescent="0.2">
      <c r="B1" s="29" t="s">
        <v>71</v>
      </c>
      <c r="K1" s="54" t="s">
        <v>67</v>
      </c>
      <c r="L1" s="55"/>
      <c r="M1" s="56"/>
    </row>
    <row r="2" spans="2:13" x14ac:dyDescent="0.2">
      <c r="B2" s="42" t="s">
        <v>75</v>
      </c>
      <c r="C2" s="43"/>
      <c r="D2" s="44"/>
      <c r="E2" s="44"/>
      <c r="F2" s="45"/>
      <c r="G2" s="44"/>
      <c r="H2" s="44"/>
      <c r="I2" s="45"/>
      <c r="K2" s="15"/>
      <c r="L2" s="57" t="s">
        <v>66</v>
      </c>
      <c r="M2" s="58"/>
    </row>
    <row r="3" spans="2:13" x14ac:dyDescent="0.2">
      <c r="B3" s="30"/>
      <c r="C3" s="31"/>
      <c r="D3" s="32"/>
      <c r="E3" s="32"/>
      <c r="F3" s="32"/>
      <c r="K3" s="16" t="s">
        <v>65</v>
      </c>
      <c r="L3" s="17" t="s">
        <v>48</v>
      </c>
      <c r="M3" s="18" t="s">
        <v>49</v>
      </c>
    </row>
    <row r="4" spans="2:13" s="32" customFormat="1" x14ac:dyDescent="0.2">
      <c r="B4" s="30"/>
      <c r="C4" s="31"/>
      <c r="K4" s="23" t="s">
        <v>57</v>
      </c>
      <c r="L4" s="19">
        <v>70</v>
      </c>
      <c r="M4" s="20">
        <v>84</v>
      </c>
    </row>
    <row r="5" spans="2:13" s="32" customFormat="1" x14ac:dyDescent="0.2">
      <c r="B5" s="30" t="s">
        <v>72</v>
      </c>
      <c r="C5" s="31"/>
      <c r="K5" s="23" t="s">
        <v>56</v>
      </c>
      <c r="L5" s="19">
        <v>80</v>
      </c>
      <c r="M5" s="20">
        <v>96</v>
      </c>
    </row>
    <row r="6" spans="2:13" ht="30.75" customHeight="1" x14ac:dyDescent="0.2">
      <c r="B6" s="33" t="s">
        <v>65</v>
      </c>
      <c r="C6" s="34" t="s">
        <v>66</v>
      </c>
      <c r="D6" s="35" t="s">
        <v>73</v>
      </c>
      <c r="E6" s="36" t="s">
        <v>74</v>
      </c>
      <c r="F6" s="46" t="s">
        <v>47</v>
      </c>
      <c r="K6" s="23" t="s">
        <v>53</v>
      </c>
      <c r="L6" s="19">
        <v>100</v>
      </c>
      <c r="M6" s="20">
        <v>120</v>
      </c>
    </row>
    <row r="7" spans="2:13" x14ac:dyDescent="0.2">
      <c r="B7" s="37" t="s">
        <v>57</v>
      </c>
      <c r="C7" s="38" t="s">
        <v>49</v>
      </c>
      <c r="D7" s="39">
        <f>WarrantyPrice(B7,C7)</f>
        <v>84</v>
      </c>
      <c r="E7" s="40">
        <f>SUM(D7:D506)</f>
        <v>28944</v>
      </c>
      <c r="F7" s="47">
        <v>28944</v>
      </c>
      <c r="K7" s="23" t="s">
        <v>62</v>
      </c>
      <c r="L7" s="19">
        <v>20</v>
      </c>
      <c r="M7" s="20">
        <v>24</v>
      </c>
    </row>
    <row r="8" spans="2:13" x14ac:dyDescent="0.2">
      <c r="B8" s="37" t="s">
        <v>60</v>
      </c>
      <c r="C8" s="38" t="s">
        <v>49</v>
      </c>
      <c r="D8" s="39">
        <f t="shared" ref="D8:D71" si="0">WarrantyPrice(B8,C8)</f>
        <v>42</v>
      </c>
      <c r="E8" s="38"/>
      <c r="K8" s="23" t="s">
        <v>64</v>
      </c>
      <c r="L8" s="19">
        <v>5</v>
      </c>
      <c r="M8" s="20">
        <v>6</v>
      </c>
    </row>
    <row r="9" spans="2:13" x14ac:dyDescent="0.2">
      <c r="B9" s="37" t="s">
        <v>61</v>
      </c>
      <c r="C9" s="38" t="s">
        <v>48</v>
      </c>
      <c r="D9" s="39">
        <f t="shared" si="0"/>
        <v>25</v>
      </c>
      <c r="E9" s="38"/>
      <c r="K9" s="23" t="s">
        <v>58</v>
      </c>
      <c r="L9" s="19">
        <v>60</v>
      </c>
      <c r="M9" s="20">
        <v>72</v>
      </c>
    </row>
    <row r="10" spans="2:13" x14ac:dyDescent="0.2">
      <c r="B10" s="37" t="s">
        <v>55</v>
      </c>
      <c r="C10" s="38" t="s">
        <v>48</v>
      </c>
      <c r="D10" s="39">
        <f t="shared" si="0"/>
        <v>100</v>
      </c>
      <c r="E10" s="38"/>
      <c r="K10" s="23" t="s">
        <v>54</v>
      </c>
      <c r="L10" s="19">
        <v>100</v>
      </c>
      <c r="M10" s="20">
        <v>120</v>
      </c>
    </row>
    <row r="11" spans="2:13" ht="28.5" customHeight="1" x14ac:dyDescent="0.2">
      <c r="B11" s="37" t="s">
        <v>52</v>
      </c>
      <c r="C11" s="38" t="s">
        <v>48</v>
      </c>
      <c r="D11" s="39">
        <f t="shared" si="0"/>
        <v>140</v>
      </c>
      <c r="E11" s="38"/>
      <c r="K11" s="23" t="s">
        <v>63</v>
      </c>
      <c r="L11" s="19">
        <v>20</v>
      </c>
      <c r="M11" s="20">
        <v>24</v>
      </c>
    </row>
    <row r="12" spans="2:13" x14ac:dyDescent="0.2">
      <c r="B12" s="37" t="s">
        <v>60</v>
      </c>
      <c r="C12" s="38" t="s">
        <v>49</v>
      </c>
      <c r="D12" s="39">
        <f t="shared" si="0"/>
        <v>42</v>
      </c>
      <c r="E12" s="38"/>
      <c r="K12" s="23" t="s">
        <v>60</v>
      </c>
      <c r="L12" s="19">
        <v>35</v>
      </c>
      <c r="M12" s="20">
        <v>42</v>
      </c>
    </row>
    <row r="13" spans="2:13" x14ac:dyDescent="0.2">
      <c r="B13" s="37" t="s">
        <v>54</v>
      </c>
      <c r="C13" s="38" t="s">
        <v>48</v>
      </c>
      <c r="D13" s="39">
        <f t="shared" si="0"/>
        <v>100</v>
      </c>
      <c r="E13" s="38"/>
      <c r="K13" s="23" t="s">
        <v>51</v>
      </c>
      <c r="L13" s="19">
        <v>200</v>
      </c>
      <c r="M13" s="20">
        <v>240</v>
      </c>
    </row>
    <row r="14" spans="2:13" x14ac:dyDescent="0.2">
      <c r="B14" s="37" t="s">
        <v>62</v>
      </c>
      <c r="C14" s="38" t="s">
        <v>48</v>
      </c>
      <c r="D14" s="39">
        <f t="shared" si="0"/>
        <v>20</v>
      </c>
      <c r="E14" s="38"/>
      <c r="K14" s="23" t="s">
        <v>59</v>
      </c>
      <c r="L14" s="19">
        <v>50</v>
      </c>
      <c r="M14" s="20">
        <v>60</v>
      </c>
    </row>
    <row r="15" spans="2:13" x14ac:dyDescent="0.2">
      <c r="B15" s="37" t="s">
        <v>62</v>
      </c>
      <c r="C15" s="38" t="s">
        <v>49</v>
      </c>
      <c r="D15" s="39">
        <f t="shared" si="0"/>
        <v>24</v>
      </c>
      <c r="E15" s="38"/>
      <c r="K15" s="23" t="s">
        <v>61</v>
      </c>
      <c r="L15" s="19">
        <v>25</v>
      </c>
      <c r="M15" s="20">
        <v>30</v>
      </c>
    </row>
    <row r="16" spans="2:13" x14ac:dyDescent="0.2">
      <c r="B16" s="37" t="s">
        <v>56</v>
      </c>
      <c r="C16" s="38" t="s">
        <v>49</v>
      </c>
      <c r="D16" s="39">
        <f t="shared" si="0"/>
        <v>96</v>
      </c>
      <c r="E16" s="38"/>
      <c r="K16" s="23" t="s">
        <v>52</v>
      </c>
      <c r="L16" s="19">
        <v>140</v>
      </c>
      <c r="M16" s="20">
        <v>168</v>
      </c>
    </row>
    <row r="17" spans="2:13" x14ac:dyDescent="0.2">
      <c r="B17" s="37" t="s">
        <v>54</v>
      </c>
      <c r="C17" s="38" t="s">
        <v>49</v>
      </c>
      <c r="D17" s="39">
        <f t="shared" si="0"/>
        <v>120</v>
      </c>
      <c r="E17" s="38"/>
      <c r="K17" s="24" t="s">
        <v>55</v>
      </c>
      <c r="L17" s="21">
        <v>100</v>
      </c>
      <c r="M17" s="22">
        <v>120</v>
      </c>
    </row>
    <row r="18" spans="2:13" x14ac:dyDescent="0.2">
      <c r="B18" s="37" t="s">
        <v>63</v>
      </c>
      <c r="C18" s="38" t="s">
        <v>49</v>
      </c>
      <c r="D18" s="39">
        <f t="shared" si="0"/>
        <v>24</v>
      </c>
      <c r="E18" s="38"/>
    </row>
    <row r="19" spans="2:13" x14ac:dyDescent="0.2">
      <c r="B19" s="37" t="s">
        <v>63</v>
      </c>
      <c r="C19" s="38" t="s">
        <v>49</v>
      </c>
      <c r="D19" s="39">
        <f t="shared" si="0"/>
        <v>24</v>
      </c>
      <c r="E19" s="38"/>
    </row>
    <row r="20" spans="2:13" x14ac:dyDescent="0.2">
      <c r="B20" s="37" t="s">
        <v>62</v>
      </c>
      <c r="C20" s="38" t="s">
        <v>49</v>
      </c>
      <c r="D20" s="39">
        <f t="shared" si="0"/>
        <v>24</v>
      </c>
      <c r="E20" s="38"/>
    </row>
    <row r="21" spans="2:13" x14ac:dyDescent="0.2">
      <c r="B21" s="37" t="s">
        <v>57</v>
      </c>
      <c r="C21" s="38" t="s">
        <v>49</v>
      </c>
      <c r="D21" s="39">
        <f t="shared" si="0"/>
        <v>84</v>
      </c>
      <c r="E21" s="38"/>
    </row>
    <row r="22" spans="2:13" x14ac:dyDescent="0.2">
      <c r="B22" s="37" t="s">
        <v>60</v>
      </c>
      <c r="C22" s="38" t="s">
        <v>48</v>
      </c>
      <c r="D22" s="39">
        <f t="shared" si="0"/>
        <v>35</v>
      </c>
      <c r="E22" s="38"/>
    </row>
    <row r="23" spans="2:13" x14ac:dyDescent="0.2">
      <c r="B23" s="37" t="s">
        <v>62</v>
      </c>
      <c r="C23" s="38" t="s">
        <v>48</v>
      </c>
      <c r="D23" s="39">
        <f t="shared" si="0"/>
        <v>20</v>
      </c>
      <c r="E23" s="38"/>
    </row>
    <row r="24" spans="2:13" x14ac:dyDescent="0.2">
      <c r="B24" s="37" t="s">
        <v>63</v>
      </c>
      <c r="C24" s="38" t="s">
        <v>49</v>
      </c>
      <c r="D24" s="39">
        <f t="shared" si="0"/>
        <v>24</v>
      </c>
      <c r="E24" s="38"/>
    </row>
    <row r="25" spans="2:13" x14ac:dyDescent="0.2">
      <c r="B25" s="37" t="s">
        <v>64</v>
      </c>
      <c r="C25" s="38" t="s">
        <v>48</v>
      </c>
      <c r="D25" s="39">
        <f t="shared" si="0"/>
        <v>5</v>
      </c>
      <c r="E25" s="38"/>
    </row>
    <row r="26" spans="2:13" x14ac:dyDescent="0.2">
      <c r="B26" s="37" t="s">
        <v>63</v>
      </c>
      <c r="C26" s="38" t="s">
        <v>48</v>
      </c>
      <c r="D26" s="39">
        <f t="shared" si="0"/>
        <v>20</v>
      </c>
      <c r="E26" s="38"/>
    </row>
    <row r="27" spans="2:13" x14ac:dyDescent="0.2">
      <c r="B27" s="37" t="s">
        <v>57</v>
      </c>
      <c r="C27" s="38" t="s">
        <v>49</v>
      </c>
      <c r="D27" s="39">
        <f t="shared" si="0"/>
        <v>84</v>
      </c>
      <c r="E27" s="38"/>
    </row>
    <row r="28" spans="2:13" x14ac:dyDescent="0.2">
      <c r="B28" s="37" t="s">
        <v>60</v>
      </c>
      <c r="C28" s="38" t="s">
        <v>48</v>
      </c>
      <c r="D28" s="39">
        <f t="shared" si="0"/>
        <v>35</v>
      </c>
      <c r="E28" s="38"/>
    </row>
    <row r="29" spans="2:13" x14ac:dyDescent="0.2">
      <c r="B29" s="37" t="s">
        <v>63</v>
      </c>
      <c r="C29" s="38" t="s">
        <v>49</v>
      </c>
      <c r="D29" s="39">
        <f t="shared" si="0"/>
        <v>24</v>
      </c>
      <c r="E29" s="38"/>
    </row>
    <row r="30" spans="2:13" x14ac:dyDescent="0.2">
      <c r="B30" s="37" t="s">
        <v>62</v>
      </c>
      <c r="C30" s="38" t="s">
        <v>48</v>
      </c>
      <c r="D30" s="39">
        <f t="shared" si="0"/>
        <v>20</v>
      </c>
      <c r="E30" s="38"/>
    </row>
    <row r="31" spans="2:13" x14ac:dyDescent="0.2">
      <c r="B31" s="37" t="s">
        <v>60</v>
      </c>
      <c r="C31" s="38" t="s">
        <v>48</v>
      </c>
      <c r="D31" s="39">
        <f t="shared" si="0"/>
        <v>35</v>
      </c>
      <c r="E31" s="38"/>
    </row>
    <row r="32" spans="2:13" x14ac:dyDescent="0.2">
      <c r="B32" s="37" t="s">
        <v>53</v>
      </c>
      <c r="C32" s="38" t="s">
        <v>48</v>
      </c>
      <c r="D32" s="39">
        <f t="shared" si="0"/>
        <v>100</v>
      </c>
      <c r="E32" s="38"/>
    </row>
    <row r="33" spans="2:5" x14ac:dyDescent="0.2">
      <c r="B33" s="37" t="s">
        <v>60</v>
      </c>
      <c r="C33" s="38" t="s">
        <v>49</v>
      </c>
      <c r="D33" s="39">
        <f t="shared" si="0"/>
        <v>42</v>
      </c>
      <c r="E33" s="38"/>
    </row>
    <row r="34" spans="2:5" x14ac:dyDescent="0.2">
      <c r="B34" s="37" t="s">
        <v>62</v>
      </c>
      <c r="C34" s="38" t="s">
        <v>48</v>
      </c>
      <c r="D34" s="39">
        <f t="shared" si="0"/>
        <v>20</v>
      </c>
      <c r="E34" s="38"/>
    </row>
    <row r="35" spans="2:5" x14ac:dyDescent="0.2">
      <c r="B35" s="37" t="s">
        <v>63</v>
      </c>
      <c r="C35" s="38" t="s">
        <v>49</v>
      </c>
      <c r="D35" s="39">
        <f t="shared" si="0"/>
        <v>24</v>
      </c>
      <c r="E35" s="38"/>
    </row>
    <row r="36" spans="2:5" x14ac:dyDescent="0.2">
      <c r="B36" s="37" t="s">
        <v>61</v>
      </c>
      <c r="C36" s="38" t="s">
        <v>48</v>
      </c>
      <c r="D36" s="39">
        <f t="shared" si="0"/>
        <v>25</v>
      </c>
      <c r="E36" s="38"/>
    </row>
    <row r="37" spans="2:5" x14ac:dyDescent="0.2">
      <c r="B37" s="37" t="s">
        <v>56</v>
      </c>
      <c r="C37" s="38" t="s">
        <v>48</v>
      </c>
      <c r="D37" s="39">
        <f t="shared" si="0"/>
        <v>80</v>
      </c>
      <c r="E37" s="38"/>
    </row>
    <row r="38" spans="2:5" x14ac:dyDescent="0.2">
      <c r="B38" s="37" t="s">
        <v>63</v>
      </c>
      <c r="C38" s="38" t="s">
        <v>48</v>
      </c>
      <c r="D38" s="39">
        <f t="shared" si="0"/>
        <v>20</v>
      </c>
      <c r="E38" s="38"/>
    </row>
    <row r="39" spans="2:5" x14ac:dyDescent="0.2">
      <c r="B39" s="37" t="s">
        <v>52</v>
      </c>
      <c r="C39" s="38" t="s">
        <v>49</v>
      </c>
      <c r="D39" s="39">
        <f t="shared" si="0"/>
        <v>168</v>
      </c>
      <c r="E39" s="38"/>
    </row>
    <row r="40" spans="2:5" x14ac:dyDescent="0.2">
      <c r="B40" s="37" t="s">
        <v>61</v>
      </c>
      <c r="C40" s="38" t="s">
        <v>48</v>
      </c>
      <c r="D40" s="39">
        <f t="shared" si="0"/>
        <v>25</v>
      </c>
      <c r="E40" s="38"/>
    </row>
    <row r="41" spans="2:5" x14ac:dyDescent="0.2">
      <c r="B41" s="37" t="s">
        <v>58</v>
      </c>
      <c r="C41" s="38" t="s">
        <v>49</v>
      </c>
      <c r="D41" s="39">
        <f t="shared" si="0"/>
        <v>72</v>
      </c>
      <c r="E41" s="38"/>
    </row>
    <row r="42" spans="2:5" x14ac:dyDescent="0.2">
      <c r="B42" s="37" t="s">
        <v>63</v>
      </c>
      <c r="C42" s="38" t="s">
        <v>48</v>
      </c>
      <c r="D42" s="39">
        <f t="shared" si="0"/>
        <v>20</v>
      </c>
      <c r="E42" s="38"/>
    </row>
    <row r="43" spans="2:5" x14ac:dyDescent="0.2">
      <c r="B43" s="37" t="s">
        <v>58</v>
      </c>
      <c r="C43" s="38" t="s">
        <v>49</v>
      </c>
      <c r="D43" s="39">
        <f t="shared" si="0"/>
        <v>72</v>
      </c>
      <c r="E43" s="38"/>
    </row>
    <row r="44" spans="2:5" x14ac:dyDescent="0.2">
      <c r="B44" s="37" t="s">
        <v>62</v>
      </c>
      <c r="C44" s="38" t="s">
        <v>48</v>
      </c>
      <c r="D44" s="39">
        <f t="shared" si="0"/>
        <v>20</v>
      </c>
      <c r="E44" s="38"/>
    </row>
    <row r="45" spans="2:5" x14ac:dyDescent="0.2">
      <c r="B45" s="37" t="s">
        <v>53</v>
      </c>
      <c r="C45" s="38" t="s">
        <v>48</v>
      </c>
      <c r="D45" s="39">
        <f t="shared" si="0"/>
        <v>100</v>
      </c>
      <c r="E45" s="38"/>
    </row>
    <row r="46" spans="2:5" x14ac:dyDescent="0.2">
      <c r="B46" s="37" t="s">
        <v>56</v>
      </c>
      <c r="C46" s="38" t="s">
        <v>48</v>
      </c>
      <c r="D46" s="39">
        <f t="shared" si="0"/>
        <v>80</v>
      </c>
      <c r="E46" s="38"/>
    </row>
    <row r="47" spans="2:5" x14ac:dyDescent="0.2">
      <c r="B47" s="37" t="s">
        <v>61</v>
      </c>
      <c r="C47" s="38" t="s">
        <v>49</v>
      </c>
      <c r="D47" s="39">
        <f t="shared" si="0"/>
        <v>30</v>
      </c>
      <c r="E47" s="38"/>
    </row>
    <row r="48" spans="2:5" x14ac:dyDescent="0.2">
      <c r="B48" s="37" t="s">
        <v>63</v>
      </c>
      <c r="C48" s="38" t="s">
        <v>48</v>
      </c>
      <c r="D48" s="39">
        <f t="shared" si="0"/>
        <v>20</v>
      </c>
      <c r="E48" s="38"/>
    </row>
    <row r="49" spans="2:5" x14ac:dyDescent="0.2">
      <c r="B49" s="37" t="s">
        <v>59</v>
      </c>
      <c r="C49" s="38" t="s">
        <v>49</v>
      </c>
      <c r="D49" s="39">
        <f t="shared" si="0"/>
        <v>60</v>
      </c>
      <c r="E49" s="38"/>
    </row>
    <row r="50" spans="2:5" x14ac:dyDescent="0.2">
      <c r="B50" s="37" t="s">
        <v>64</v>
      </c>
      <c r="C50" s="38" t="s">
        <v>48</v>
      </c>
      <c r="D50" s="39">
        <f t="shared" si="0"/>
        <v>5</v>
      </c>
      <c r="E50" s="38"/>
    </row>
    <row r="51" spans="2:5" x14ac:dyDescent="0.2">
      <c r="B51" s="37" t="s">
        <v>54</v>
      </c>
      <c r="C51" s="38" t="s">
        <v>49</v>
      </c>
      <c r="D51" s="39">
        <f t="shared" si="0"/>
        <v>120</v>
      </c>
      <c r="E51" s="38"/>
    </row>
    <row r="52" spans="2:5" x14ac:dyDescent="0.2">
      <c r="B52" s="37" t="s">
        <v>60</v>
      </c>
      <c r="C52" s="38" t="s">
        <v>48</v>
      </c>
      <c r="D52" s="39">
        <f t="shared" si="0"/>
        <v>35</v>
      </c>
      <c r="E52" s="38"/>
    </row>
    <row r="53" spans="2:5" x14ac:dyDescent="0.2">
      <c r="B53" s="37" t="s">
        <v>57</v>
      </c>
      <c r="C53" s="38" t="s">
        <v>48</v>
      </c>
      <c r="D53" s="39">
        <f t="shared" si="0"/>
        <v>70</v>
      </c>
      <c r="E53" s="38"/>
    </row>
    <row r="54" spans="2:5" x14ac:dyDescent="0.2">
      <c r="B54" s="37" t="s">
        <v>63</v>
      </c>
      <c r="C54" s="38" t="s">
        <v>49</v>
      </c>
      <c r="D54" s="39">
        <f t="shared" si="0"/>
        <v>24</v>
      </c>
      <c r="E54" s="38"/>
    </row>
    <row r="55" spans="2:5" x14ac:dyDescent="0.2">
      <c r="B55" s="37" t="s">
        <v>59</v>
      </c>
      <c r="C55" s="38" t="s">
        <v>49</v>
      </c>
      <c r="D55" s="39">
        <f t="shared" si="0"/>
        <v>60</v>
      </c>
      <c r="E55" s="38"/>
    </row>
    <row r="56" spans="2:5" x14ac:dyDescent="0.2">
      <c r="B56" s="37" t="s">
        <v>51</v>
      </c>
      <c r="C56" s="38" t="s">
        <v>48</v>
      </c>
      <c r="D56" s="39">
        <f t="shared" si="0"/>
        <v>200</v>
      </c>
      <c r="E56" s="38"/>
    </row>
    <row r="57" spans="2:5" x14ac:dyDescent="0.2">
      <c r="B57" s="37" t="s">
        <v>60</v>
      </c>
      <c r="C57" s="38" t="s">
        <v>48</v>
      </c>
      <c r="D57" s="39">
        <f t="shared" si="0"/>
        <v>35</v>
      </c>
      <c r="E57" s="38"/>
    </row>
    <row r="58" spans="2:5" x14ac:dyDescent="0.2">
      <c r="B58" s="37" t="s">
        <v>55</v>
      </c>
      <c r="C58" s="38" t="s">
        <v>48</v>
      </c>
      <c r="D58" s="39">
        <f t="shared" si="0"/>
        <v>100</v>
      </c>
      <c r="E58" s="38"/>
    </row>
    <row r="59" spans="2:5" x14ac:dyDescent="0.2">
      <c r="B59" s="37" t="s">
        <v>60</v>
      </c>
      <c r="C59" s="38" t="s">
        <v>49</v>
      </c>
      <c r="D59" s="39">
        <f t="shared" si="0"/>
        <v>42</v>
      </c>
      <c r="E59" s="38"/>
    </row>
    <row r="60" spans="2:5" x14ac:dyDescent="0.2">
      <c r="B60" s="37" t="s">
        <v>54</v>
      </c>
      <c r="C60" s="38" t="s">
        <v>49</v>
      </c>
      <c r="D60" s="39">
        <f t="shared" si="0"/>
        <v>120</v>
      </c>
      <c r="E60" s="38"/>
    </row>
    <row r="61" spans="2:5" x14ac:dyDescent="0.2">
      <c r="B61" s="37" t="s">
        <v>61</v>
      </c>
      <c r="C61" s="38" t="s">
        <v>49</v>
      </c>
      <c r="D61" s="39">
        <f t="shared" si="0"/>
        <v>30</v>
      </c>
      <c r="E61" s="38"/>
    </row>
    <row r="62" spans="2:5" x14ac:dyDescent="0.2">
      <c r="B62" s="37" t="s">
        <v>64</v>
      </c>
      <c r="C62" s="38" t="s">
        <v>49</v>
      </c>
      <c r="D62" s="39">
        <f t="shared" si="0"/>
        <v>6</v>
      </c>
      <c r="E62" s="38"/>
    </row>
    <row r="63" spans="2:5" x14ac:dyDescent="0.2">
      <c r="B63" s="37" t="s">
        <v>53</v>
      </c>
      <c r="C63" s="38" t="s">
        <v>48</v>
      </c>
      <c r="D63" s="39">
        <f t="shared" si="0"/>
        <v>100</v>
      </c>
      <c r="E63" s="38"/>
    </row>
    <row r="64" spans="2:5" x14ac:dyDescent="0.2">
      <c r="B64" s="37" t="s">
        <v>64</v>
      </c>
      <c r="C64" s="38" t="s">
        <v>48</v>
      </c>
      <c r="D64" s="39">
        <f t="shared" si="0"/>
        <v>5</v>
      </c>
      <c r="E64" s="38"/>
    </row>
    <row r="65" spans="2:5" x14ac:dyDescent="0.2">
      <c r="B65" s="37" t="s">
        <v>52</v>
      </c>
      <c r="C65" s="38" t="s">
        <v>49</v>
      </c>
      <c r="D65" s="39">
        <f t="shared" si="0"/>
        <v>168</v>
      </c>
      <c r="E65" s="38"/>
    </row>
    <row r="66" spans="2:5" x14ac:dyDescent="0.2">
      <c r="B66" s="37" t="s">
        <v>64</v>
      </c>
      <c r="C66" s="38" t="s">
        <v>48</v>
      </c>
      <c r="D66" s="39">
        <f t="shared" si="0"/>
        <v>5</v>
      </c>
      <c r="E66" s="38"/>
    </row>
    <row r="67" spans="2:5" x14ac:dyDescent="0.2">
      <c r="B67" s="37" t="s">
        <v>60</v>
      </c>
      <c r="C67" s="38" t="s">
        <v>48</v>
      </c>
      <c r="D67" s="39">
        <f t="shared" si="0"/>
        <v>35</v>
      </c>
      <c r="E67" s="38"/>
    </row>
    <row r="68" spans="2:5" x14ac:dyDescent="0.2">
      <c r="B68" s="37" t="s">
        <v>57</v>
      </c>
      <c r="C68" s="38" t="s">
        <v>49</v>
      </c>
      <c r="D68" s="39">
        <f t="shared" si="0"/>
        <v>84</v>
      </c>
      <c r="E68" s="38"/>
    </row>
    <row r="69" spans="2:5" x14ac:dyDescent="0.2">
      <c r="B69" s="37" t="s">
        <v>58</v>
      </c>
      <c r="C69" s="38" t="s">
        <v>48</v>
      </c>
      <c r="D69" s="39">
        <f t="shared" si="0"/>
        <v>60</v>
      </c>
      <c r="E69" s="38"/>
    </row>
    <row r="70" spans="2:5" x14ac:dyDescent="0.2">
      <c r="B70" s="37" t="s">
        <v>60</v>
      </c>
      <c r="C70" s="38" t="s">
        <v>49</v>
      </c>
      <c r="D70" s="39">
        <f t="shared" si="0"/>
        <v>42</v>
      </c>
      <c r="E70" s="38"/>
    </row>
    <row r="71" spans="2:5" x14ac:dyDescent="0.2">
      <c r="B71" s="37" t="s">
        <v>63</v>
      </c>
      <c r="C71" s="38" t="s">
        <v>48</v>
      </c>
      <c r="D71" s="39">
        <f t="shared" si="0"/>
        <v>20</v>
      </c>
      <c r="E71" s="38"/>
    </row>
    <row r="72" spans="2:5" x14ac:dyDescent="0.2">
      <c r="B72" s="37" t="s">
        <v>60</v>
      </c>
      <c r="C72" s="38" t="s">
        <v>49</v>
      </c>
      <c r="D72" s="39">
        <f t="shared" ref="D72:D135" si="1">WarrantyPrice(B72,C72)</f>
        <v>42</v>
      </c>
      <c r="E72" s="38"/>
    </row>
    <row r="73" spans="2:5" x14ac:dyDescent="0.2">
      <c r="B73" s="37" t="s">
        <v>52</v>
      </c>
      <c r="C73" s="38" t="s">
        <v>49</v>
      </c>
      <c r="D73" s="39">
        <f t="shared" si="1"/>
        <v>168</v>
      </c>
      <c r="E73" s="38"/>
    </row>
    <row r="74" spans="2:5" x14ac:dyDescent="0.2">
      <c r="B74" s="37" t="s">
        <v>63</v>
      </c>
      <c r="C74" s="38" t="s">
        <v>49</v>
      </c>
      <c r="D74" s="39">
        <f t="shared" si="1"/>
        <v>24</v>
      </c>
      <c r="E74" s="38"/>
    </row>
    <row r="75" spans="2:5" x14ac:dyDescent="0.2">
      <c r="B75" s="37" t="s">
        <v>57</v>
      </c>
      <c r="C75" s="38" t="s">
        <v>48</v>
      </c>
      <c r="D75" s="39">
        <f t="shared" si="1"/>
        <v>70</v>
      </c>
      <c r="E75" s="38"/>
    </row>
    <row r="76" spans="2:5" x14ac:dyDescent="0.2">
      <c r="B76" s="37" t="s">
        <v>53</v>
      </c>
      <c r="C76" s="38" t="s">
        <v>49</v>
      </c>
      <c r="D76" s="39">
        <f t="shared" si="1"/>
        <v>120</v>
      </c>
      <c r="E76" s="38"/>
    </row>
    <row r="77" spans="2:5" x14ac:dyDescent="0.2">
      <c r="B77" s="37" t="s">
        <v>54</v>
      </c>
      <c r="C77" s="38" t="s">
        <v>49</v>
      </c>
      <c r="D77" s="39">
        <f t="shared" si="1"/>
        <v>120</v>
      </c>
      <c r="E77" s="38"/>
    </row>
    <row r="78" spans="2:5" x14ac:dyDescent="0.2">
      <c r="B78" s="37" t="s">
        <v>62</v>
      </c>
      <c r="C78" s="38" t="s">
        <v>48</v>
      </c>
      <c r="D78" s="39">
        <f t="shared" si="1"/>
        <v>20</v>
      </c>
      <c r="E78" s="38"/>
    </row>
    <row r="79" spans="2:5" x14ac:dyDescent="0.2">
      <c r="B79" s="37" t="s">
        <v>63</v>
      </c>
      <c r="C79" s="38" t="s">
        <v>48</v>
      </c>
      <c r="D79" s="39">
        <f t="shared" si="1"/>
        <v>20</v>
      </c>
      <c r="E79" s="38"/>
    </row>
    <row r="80" spans="2:5" x14ac:dyDescent="0.2">
      <c r="B80" s="37" t="s">
        <v>62</v>
      </c>
      <c r="C80" s="38" t="s">
        <v>49</v>
      </c>
      <c r="D80" s="39">
        <f t="shared" si="1"/>
        <v>24</v>
      </c>
      <c r="E80" s="38"/>
    </row>
    <row r="81" spans="2:5" x14ac:dyDescent="0.2">
      <c r="B81" s="37" t="s">
        <v>57</v>
      </c>
      <c r="C81" s="38" t="s">
        <v>48</v>
      </c>
      <c r="D81" s="39">
        <f t="shared" si="1"/>
        <v>70</v>
      </c>
      <c r="E81" s="38"/>
    </row>
    <row r="82" spans="2:5" x14ac:dyDescent="0.2">
      <c r="B82" s="37" t="s">
        <v>60</v>
      </c>
      <c r="C82" s="38" t="s">
        <v>49</v>
      </c>
      <c r="D82" s="39">
        <f t="shared" si="1"/>
        <v>42</v>
      </c>
      <c r="E82" s="38"/>
    </row>
    <row r="83" spans="2:5" x14ac:dyDescent="0.2">
      <c r="B83" s="37" t="s">
        <v>57</v>
      </c>
      <c r="C83" s="38" t="s">
        <v>48</v>
      </c>
      <c r="D83" s="39">
        <f t="shared" si="1"/>
        <v>70</v>
      </c>
      <c r="E83" s="38"/>
    </row>
    <row r="84" spans="2:5" x14ac:dyDescent="0.2">
      <c r="B84" s="37" t="s">
        <v>63</v>
      </c>
      <c r="C84" s="38" t="s">
        <v>48</v>
      </c>
      <c r="D84" s="39">
        <f t="shared" si="1"/>
        <v>20</v>
      </c>
      <c r="E84" s="38"/>
    </row>
    <row r="85" spans="2:5" x14ac:dyDescent="0.2">
      <c r="B85" s="37" t="s">
        <v>52</v>
      </c>
      <c r="C85" s="38" t="s">
        <v>48</v>
      </c>
      <c r="D85" s="39">
        <f t="shared" si="1"/>
        <v>140</v>
      </c>
      <c r="E85" s="38"/>
    </row>
    <row r="86" spans="2:5" x14ac:dyDescent="0.2">
      <c r="B86" s="37" t="s">
        <v>64</v>
      </c>
      <c r="C86" s="38" t="s">
        <v>49</v>
      </c>
      <c r="D86" s="39">
        <f t="shared" si="1"/>
        <v>6</v>
      </c>
      <c r="E86" s="38"/>
    </row>
    <row r="87" spans="2:5" x14ac:dyDescent="0.2">
      <c r="B87" s="37" t="s">
        <v>58</v>
      </c>
      <c r="C87" s="38" t="s">
        <v>49</v>
      </c>
      <c r="D87" s="39">
        <f t="shared" si="1"/>
        <v>72</v>
      </c>
      <c r="E87" s="38"/>
    </row>
    <row r="88" spans="2:5" x14ac:dyDescent="0.2">
      <c r="B88" s="37" t="s">
        <v>54</v>
      </c>
      <c r="C88" s="38" t="s">
        <v>48</v>
      </c>
      <c r="D88" s="39">
        <f t="shared" si="1"/>
        <v>100</v>
      </c>
      <c r="E88" s="38"/>
    </row>
    <row r="89" spans="2:5" x14ac:dyDescent="0.2">
      <c r="B89" s="37" t="s">
        <v>51</v>
      </c>
      <c r="C89" s="38" t="s">
        <v>49</v>
      </c>
      <c r="D89" s="39">
        <f t="shared" si="1"/>
        <v>240</v>
      </c>
      <c r="E89" s="38"/>
    </row>
    <row r="90" spans="2:5" x14ac:dyDescent="0.2">
      <c r="B90" s="37" t="s">
        <v>60</v>
      </c>
      <c r="C90" s="38" t="s">
        <v>48</v>
      </c>
      <c r="D90" s="39">
        <f t="shared" si="1"/>
        <v>35</v>
      </c>
      <c r="E90" s="38"/>
    </row>
    <row r="91" spans="2:5" x14ac:dyDescent="0.2">
      <c r="B91" s="37" t="s">
        <v>62</v>
      </c>
      <c r="C91" s="38" t="s">
        <v>49</v>
      </c>
      <c r="D91" s="39">
        <f t="shared" si="1"/>
        <v>24</v>
      </c>
      <c r="E91" s="38"/>
    </row>
    <row r="92" spans="2:5" x14ac:dyDescent="0.2">
      <c r="B92" s="37" t="s">
        <v>63</v>
      </c>
      <c r="C92" s="38" t="s">
        <v>48</v>
      </c>
      <c r="D92" s="39">
        <f t="shared" si="1"/>
        <v>20</v>
      </c>
      <c r="E92" s="38"/>
    </row>
    <row r="93" spans="2:5" x14ac:dyDescent="0.2">
      <c r="B93" s="37" t="s">
        <v>63</v>
      </c>
      <c r="C93" s="38" t="s">
        <v>48</v>
      </c>
      <c r="D93" s="39">
        <f t="shared" si="1"/>
        <v>20</v>
      </c>
      <c r="E93" s="38"/>
    </row>
    <row r="94" spans="2:5" x14ac:dyDescent="0.2">
      <c r="B94" s="37" t="s">
        <v>61</v>
      </c>
      <c r="C94" s="38" t="s">
        <v>48</v>
      </c>
      <c r="D94" s="39">
        <f t="shared" si="1"/>
        <v>25</v>
      </c>
      <c r="E94" s="38"/>
    </row>
    <row r="95" spans="2:5" x14ac:dyDescent="0.2">
      <c r="B95" s="37" t="s">
        <v>60</v>
      </c>
      <c r="C95" s="38" t="s">
        <v>48</v>
      </c>
      <c r="D95" s="39">
        <f t="shared" si="1"/>
        <v>35</v>
      </c>
      <c r="E95" s="38"/>
    </row>
    <row r="96" spans="2:5" x14ac:dyDescent="0.2">
      <c r="B96" s="37" t="s">
        <v>60</v>
      </c>
      <c r="C96" s="38" t="s">
        <v>48</v>
      </c>
      <c r="D96" s="39">
        <f t="shared" si="1"/>
        <v>35</v>
      </c>
      <c r="E96" s="38"/>
    </row>
    <row r="97" spans="2:5" x14ac:dyDescent="0.2">
      <c r="B97" s="37" t="s">
        <v>63</v>
      </c>
      <c r="C97" s="38" t="s">
        <v>49</v>
      </c>
      <c r="D97" s="39">
        <f t="shared" si="1"/>
        <v>24</v>
      </c>
      <c r="E97" s="38"/>
    </row>
    <row r="98" spans="2:5" x14ac:dyDescent="0.2">
      <c r="B98" s="37" t="s">
        <v>62</v>
      </c>
      <c r="C98" s="38" t="s">
        <v>48</v>
      </c>
      <c r="D98" s="39">
        <f t="shared" si="1"/>
        <v>20</v>
      </c>
      <c r="E98" s="38"/>
    </row>
    <row r="99" spans="2:5" x14ac:dyDescent="0.2">
      <c r="B99" s="37" t="s">
        <v>63</v>
      </c>
      <c r="C99" s="38" t="s">
        <v>48</v>
      </c>
      <c r="D99" s="39">
        <f t="shared" si="1"/>
        <v>20</v>
      </c>
      <c r="E99" s="38"/>
    </row>
    <row r="100" spans="2:5" x14ac:dyDescent="0.2">
      <c r="B100" s="37" t="s">
        <v>57</v>
      </c>
      <c r="C100" s="38" t="s">
        <v>48</v>
      </c>
      <c r="D100" s="39">
        <f t="shared" si="1"/>
        <v>70</v>
      </c>
      <c r="E100" s="38"/>
    </row>
    <row r="101" spans="2:5" x14ac:dyDescent="0.2">
      <c r="B101" s="37" t="s">
        <v>64</v>
      </c>
      <c r="C101" s="38" t="s">
        <v>49</v>
      </c>
      <c r="D101" s="39">
        <f t="shared" si="1"/>
        <v>6</v>
      </c>
    </row>
    <row r="102" spans="2:5" x14ac:dyDescent="0.2">
      <c r="B102" s="37" t="s">
        <v>52</v>
      </c>
      <c r="C102" s="38" t="s">
        <v>49</v>
      </c>
      <c r="D102" s="39">
        <f t="shared" si="1"/>
        <v>168</v>
      </c>
    </row>
    <row r="103" spans="2:5" x14ac:dyDescent="0.2">
      <c r="B103" s="37" t="s">
        <v>60</v>
      </c>
      <c r="C103" s="38" t="s">
        <v>49</v>
      </c>
      <c r="D103" s="39">
        <f t="shared" si="1"/>
        <v>42</v>
      </c>
    </row>
    <row r="104" spans="2:5" x14ac:dyDescent="0.2">
      <c r="B104" s="37" t="s">
        <v>61</v>
      </c>
      <c r="C104" s="38" t="s">
        <v>48</v>
      </c>
      <c r="D104" s="39">
        <f t="shared" si="1"/>
        <v>25</v>
      </c>
    </row>
    <row r="105" spans="2:5" x14ac:dyDescent="0.2">
      <c r="B105" s="37" t="s">
        <v>64</v>
      </c>
      <c r="C105" s="38" t="s">
        <v>49</v>
      </c>
      <c r="D105" s="39">
        <f t="shared" si="1"/>
        <v>6</v>
      </c>
    </row>
    <row r="106" spans="2:5" x14ac:dyDescent="0.2">
      <c r="B106" s="37" t="s">
        <v>63</v>
      </c>
      <c r="C106" s="38" t="s">
        <v>48</v>
      </c>
      <c r="D106" s="39">
        <f t="shared" si="1"/>
        <v>20</v>
      </c>
    </row>
    <row r="107" spans="2:5" x14ac:dyDescent="0.2">
      <c r="B107" s="37" t="s">
        <v>55</v>
      </c>
      <c r="C107" s="38" t="s">
        <v>49</v>
      </c>
      <c r="D107" s="39">
        <f t="shared" si="1"/>
        <v>120</v>
      </c>
    </row>
    <row r="108" spans="2:5" x14ac:dyDescent="0.2">
      <c r="B108" s="37" t="s">
        <v>63</v>
      </c>
      <c r="C108" s="38" t="s">
        <v>48</v>
      </c>
      <c r="D108" s="39">
        <f t="shared" si="1"/>
        <v>20</v>
      </c>
    </row>
    <row r="109" spans="2:5" x14ac:dyDescent="0.2">
      <c r="B109" s="37" t="s">
        <v>60</v>
      </c>
      <c r="C109" s="38" t="s">
        <v>49</v>
      </c>
      <c r="D109" s="39">
        <f t="shared" si="1"/>
        <v>42</v>
      </c>
    </row>
    <row r="110" spans="2:5" x14ac:dyDescent="0.2">
      <c r="B110" s="37" t="s">
        <v>54</v>
      </c>
      <c r="C110" s="38" t="s">
        <v>48</v>
      </c>
      <c r="D110" s="39">
        <f t="shared" si="1"/>
        <v>100</v>
      </c>
    </row>
    <row r="111" spans="2:5" x14ac:dyDescent="0.2">
      <c r="B111" s="37" t="s">
        <v>60</v>
      </c>
      <c r="C111" s="38" t="s">
        <v>49</v>
      </c>
      <c r="D111" s="39">
        <f t="shared" si="1"/>
        <v>42</v>
      </c>
    </row>
    <row r="112" spans="2:5" x14ac:dyDescent="0.2">
      <c r="B112" s="37" t="s">
        <v>54</v>
      </c>
      <c r="C112" s="38" t="s">
        <v>48</v>
      </c>
      <c r="D112" s="39">
        <f t="shared" si="1"/>
        <v>100</v>
      </c>
    </row>
    <row r="113" spans="2:4" x14ac:dyDescent="0.2">
      <c r="B113" s="37" t="s">
        <v>60</v>
      </c>
      <c r="C113" s="38" t="s">
        <v>49</v>
      </c>
      <c r="D113" s="39">
        <f t="shared" si="1"/>
        <v>42</v>
      </c>
    </row>
    <row r="114" spans="2:4" x14ac:dyDescent="0.2">
      <c r="B114" s="37" t="s">
        <v>62</v>
      </c>
      <c r="C114" s="38" t="s">
        <v>49</v>
      </c>
      <c r="D114" s="39">
        <f t="shared" si="1"/>
        <v>24</v>
      </c>
    </row>
    <row r="115" spans="2:4" x14ac:dyDescent="0.2">
      <c r="B115" s="37" t="s">
        <v>62</v>
      </c>
      <c r="C115" s="38" t="s">
        <v>48</v>
      </c>
      <c r="D115" s="39">
        <f t="shared" si="1"/>
        <v>20</v>
      </c>
    </row>
    <row r="116" spans="2:4" x14ac:dyDescent="0.2">
      <c r="B116" s="37" t="s">
        <v>60</v>
      </c>
      <c r="C116" s="38" t="s">
        <v>49</v>
      </c>
      <c r="D116" s="39">
        <f t="shared" si="1"/>
        <v>42</v>
      </c>
    </row>
    <row r="117" spans="2:4" x14ac:dyDescent="0.2">
      <c r="B117" s="37" t="s">
        <v>52</v>
      </c>
      <c r="C117" s="38" t="s">
        <v>48</v>
      </c>
      <c r="D117" s="39">
        <f t="shared" si="1"/>
        <v>140</v>
      </c>
    </row>
    <row r="118" spans="2:4" x14ac:dyDescent="0.2">
      <c r="B118" s="37" t="s">
        <v>53</v>
      </c>
      <c r="C118" s="38" t="s">
        <v>49</v>
      </c>
      <c r="D118" s="39">
        <f t="shared" si="1"/>
        <v>120</v>
      </c>
    </row>
    <row r="119" spans="2:4" x14ac:dyDescent="0.2">
      <c r="B119" s="37" t="s">
        <v>62</v>
      </c>
      <c r="C119" s="38" t="s">
        <v>48</v>
      </c>
      <c r="D119" s="39">
        <f t="shared" si="1"/>
        <v>20</v>
      </c>
    </row>
    <row r="120" spans="2:4" x14ac:dyDescent="0.2">
      <c r="B120" s="37" t="s">
        <v>54</v>
      </c>
      <c r="C120" s="38" t="s">
        <v>49</v>
      </c>
      <c r="D120" s="39">
        <f t="shared" si="1"/>
        <v>120</v>
      </c>
    </row>
    <row r="121" spans="2:4" x14ac:dyDescent="0.2">
      <c r="B121" s="37" t="s">
        <v>51</v>
      </c>
      <c r="C121" s="38" t="s">
        <v>48</v>
      </c>
      <c r="D121" s="39">
        <f t="shared" si="1"/>
        <v>200</v>
      </c>
    </row>
    <row r="122" spans="2:4" x14ac:dyDescent="0.2">
      <c r="B122" s="37" t="s">
        <v>63</v>
      </c>
      <c r="C122" s="38" t="s">
        <v>49</v>
      </c>
      <c r="D122" s="39">
        <f t="shared" si="1"/>
        <v>24</v>
      </c>
    </row>
    <row r="123" spans="2:4" x14ac:dyDescent="0.2">
      <c r="B123" s="37" t="s">
        <v>52</v>
      </c>
      <c r="C123" s="38" t="s">
        <v>48</v>
      </c>
      <c r="D123" s="39">
        <f t="shared" si="1"/>
        <v>140</v>
      </c>
    </row>
    <row r="124" spans="2:4" x14ac:dyDescent="0.2">
      <c r="B124" s="37" t="s">
        <v>57</v>
      </c>
      <c r="C124" s="38" t="s">
        <v>49</v>
      </c>
      <c r="D124" s="39">
        <f t="shared" si="1"/>
        <v>84</v>
      </c>
    </row>
    <row r="125" spans="2:4" x14ac:dyDescent="0.2">
      <c r="B125" s="37" t="s">
        <v>60</v>
      </c>
      <c r="C125" s="38" t="s">
        <v>48</v>
      </c>
      <c r="D125" s="39">
        <f t="shared" si="1"/>
        <v>35</v>
      </c>
    </row>
    <row r="126" spans="2:4" x14ac:dyDescent="0.2">
      <c r="B126" s="37" t="s">
        <v>64</v>
      </c>
      <c r="C126" s="38" t="s">
        <v>49</v>
      </c>
      <c r="D126" s="39">
        <f t="shared" si="1"/>
        <v>6</v>
      </c>
    </row>
    <row r="127" spans="2:4" x14ac:dyDescent="0.2">
      <c r="B127" s="37" t="s">
        <v>63</v>
      </c>
      <c r="C127" s="38" t="s">
        <v>48</v>
      </c>
      <c r="D127" s="39">
        <f t="shared" si="1"/>
        <v>20</v>
      </c>
    </row>
    <row r="128" spans="2:4" x14ac:dyDescent="0.2">
      <c r="B128" s="37" t="s">
        <v>58</v>
      </c>
      <c r="C128" s="38" t="s">
        <v>48</v>
      </c>
      <c r="D128" s="39">
        <f t="shared" si="1"/>
        <v>60</v>
      </c>
    </row>
    <row r="129" spans="2:4" x14ac:dyDescent="0.2">
      <c r="B129" s="37" t="s">
        <v>52</v>
      </c>
      <c r="C129" s="38" t="s">
        <v>49</v>
      </c>
      <c r="D129" s="39">
        <f t="shared" si="1"/>
        <v>168</v>
      </c>
    </row>
    <row r="130" spans="2:4" x14ac:dyDescent="0.2">
      <c r="B130" s="37" t="s">
        <v>59</v>
      </c>
      <c r="C130" s="38" t="s">
        <v>48</v>
      </c>
      <c r="D130" s="39">
        <f t="shared" si="1"/>
        <v>50</v>
      </c>
    </row>
    <row r="131" spans="2:4" x14ac:dyDescent="0.2">
      <c r="B131" s="37" t="s">
        <v>60</v>
      </c>
      <c r="C131" s="38" t="s">
        <v>48</v>
      </c>
      <c r="D131" s="39">
        <f t="shared" si="1"/>
        <v>35</v>
      </c>
    </row>
    <row r="132" spans="2:4" x14ac:dyDescent="0.2">
      <c r="B132" s="37" t="s">
        <v>57</v>
      </c>
      <c r="C132" s="38" t="s">
        <v>49</v>
      </c>
      <c r="D132" s="39">
        <f t="shared" si="1"/>
        <v>84</v>
      </c>
    </row>
    <row r="133" spans="2:4" x14ac:dyDescent="0.2">
      <c r="B133" s="37" t="s">
        <v>58</v>
      </c>
      <c r="C133" s="38" t="s">
        <v>48</v>
      </c>
      <c r="D133" s="39">
        <f t="shared" si="1"/>
        <v>60</v>
      </c>
    </row>
    <row r="134" spans="2:4" x14ac:dyDescent="0.2">
      <c r="B134" s="37" t="s">
        <v>52</v>
      </c>
      <c r="C134" s="38" t="s">
        <v>48</v>
      </c>
      <c r="D134" s="39">
        <f t="shared" si="1"/>
        <v>140</v>
      </c>
    </row>
    <row r="135" spans="2:4" x14ac:dyDescent="0.2">
      <c r="B135" s="37" t="s">
        <v>60</v>
      </c>
      <c r="C135" s="38" t="s">
        <v>48</v>
      </c>
      <c r="D135" s="39">
        <f t="shared" si="1"/>
        <v>35</v>
      </c>
    </row>
    <row r="136" spans="2:4" x14ac:dyDescent="0.2">
      <c r="B136" s="37" t="s">
        <v>55</v>
      </c>
      <c r="C136" s="38" t="s">
        <v>49</v>
      </c>
      <c r="D136" s="39">
        <f t="shared" ref="D136:D199" si="2">WarrantyPrice(B136,C136)</f>
        <v>120</v>
      </c>
    </row>
    <row r="137" spans="2:4" x14ac:dyDescent="0.2">
      <c r="B137" s="37" t="s">
        <v>60</v>
      </c>
      <c r="C137" s="38" t="s">
        <v>48</v>
      </c>
      <c r="D137" s="39">
        <f t="shared" si="2"/>
        <v>35</v>
      </c>
    </row>
    <row r="138" spans="2:4" x14ac:dyDescent="0.2">
      <c r="B138" s="37" t="s">
        <v>62</v>
      </c>
      <c r="C138" s="38" t="s">
        <v>49</v>
      </c>
      <c r="D138" s="39">
        <f t="shared" si="2"/>
        <v>24</v>
      </c>
    </row>
    <row r="139" spans="2:4" x14ac:dyDescent="0.2">
      <c r="B139" s="37" t="s">
        <v>56</v>
      </c>
      <c r="C139" s="38" t="s">
        <v>49</v>
      </c>
      <c r="D139" s="39">
        <f t="shared" si="2"/>
        <v>96</v>
      </c>
    </row>
    <row r="140" spans="2:4" x14ac:dyDescent="0.2">
      <c r="B140" s="37" t="s">
        <v>51</v>
      </c>
      <c r="C140" s="38" t="s">
        <v>48</v>
      </c>
      <c r="D140" s="39">
        <f t="shared" si="2"/>
        <v>200</v>
      </c>
    </row>
    <row r="141" spans="2:4" x14ac:dyDescent="0.2">
      <c r="B141" s="37" t="s">
        <v>63</v>
      </c>
      <c r="C141" s="38" t="s">
        <v>48</v>
      </c>
      <c r="D141" s="39">
        <f t="shared" si="2"/>
        <v>20</v>
      </c>
    </row>
    <row r="142" spans="2:4" x14ac:dyDescent="0.2">
      <c r="B142" s="37" t="s">
        <v>60</v>
      </c>
      <c r="C142" s="38" t="s">
        <v>49</v>
      </c>
      <c r="D142" s="39">
        <f t="shared" si="2"/>
        <v>42</v>
      </c>
    </row>
    <row r="143" spans="2:4" x14ac:dyDescent="0.2">
      <c r="B143" s="37" t="s">
        <v>60</v>
      </c>
      <c r="C143" s="38" t="s">
        <v>48</v>
      </c>
      <c r="D143" s="39">
        <f t="shared" si="2"/>
        <v>35</v>
      </c>
    </row>
    <row r="144" spans="2:4" x14ac:dyDescent="0.2">
      <c r="B144" s="37" t="s">
        <v>63</v>
      </c>
      <c r="C144" s="38" t="s">
        <v>49</v>
      </c>
      <c r="D144" s="39">
        <f t="shared" si="2"/>
        <v>24</v>
      </c>
    </row>
    <row r="145" spans="2:4" x14ac:dyDescent="0.2">
      <c r="B145" s="37" t="s">
        <v>60</v>
      </c>
      <c r="C145" s="38" t="s">
        <v>48</v>
      </c>
      <c r="D145" s="39">
        <f t="shared" si="2"/>
        <v>35</v>
      </c>
    </row>
    <row r="146" spans="2:4" x14ac:dyDescent="0.2">
      <c r="B146" s="37" t="s">
        <v>57</v>
      </c>
      <c r="C146" s="38" t="s">
        <v>49</v>
      </c>
      <c r="D146" s="39">
        <f t="shared" si="2"/>
        <v>84</v>
      </c>
    </row>
    <row r="147" spans="2:4" x14ac:dyDescent="0.2">
      <c r="B147" s="37" t="s">
        <v>59</v>
      </c>
      <c r="C147" s="38" t="s">
        <v>48</v>
      </c>
      <c r="D147" s="39">
        <f t="shared" si="2"/>
        <v>50</v>
      </c>
    </row>
    <row r="148" spans="2:4" x14ac:dyDescent="0.2">
      <c r="B148" s="37" t="s">
        <v>61</v>
      </c>
      <c r="C148" s="38" t="s">
        <v>49</v>
      </c>
      <c r="D148" s="39">
        <f t="shared" si="2"/>
        <v>30</v>
      </c>
    </row>
    <row r="149" spans="2:4" x14ac:dyDescent="0.2">
      <c r="B149" s="37" t="s">
        <v>60</v>
      </c>
      <c r="C149" s="38" t="s">
        <v>48</v>
      </c>
      <c r="D149" s="39">
        <f t="shared" si="2"/>
        <v>35</v>
      </c>
    </row>
    <row r="150" spans="2:4" x14ac:dyDescent="0.2">
      <c r="B150" s="37" t="s">
        <v>60</v>
      </c>
      <c r="C150" s="38" t="s">
        <v>49</v>
      </c>
      <c r="D150" s="39">
        <f t="shared" si="2"/>
        <v>42</v>
      </c>
    </row>
    <row r="151" spans="2:4" x14ac:dyDescent="0.2">
      <c r="B151" s="37" t="s">
        <v>56</v>
      </c>
      <c r="C151" s="38" t="s">
        <v>48</v>
      </c>
      <c r="D151" s="39">
        <f t="shared" si="2"/>
        <v>80</v>
      </c>
    </row>
    <row r="152" spans="2:4" x14ac:dyDescent="0.2">
      <c r="B152" s="37" t="s">
        <v>56</v>
      </c>
      <c r="C152" s="38" t="s">
        <v>49</v>
      </c>
      <c r="D152" s="39">
        <f t="shared" si="2"/>
        <v>96</v>
      </c>
    </row>
    <row r="153" spans="2:4" x14ac:dyDescent="0.2">
      <c r="B153" s="37" t="s">
        <v>52</v>
      </c>
      <c r="C153" s="38" t="s">
        <v>48</v>
      </c>
      <c r="D153" s="39">
        <f t="shared" si="2"/>
        <v>140</v>
      </c>
    </row>
    <row r="154" spans="2:4" x14ac:dyDescent="0.2">
      <c r="B154" s="37" t="s">
        <v>63</v>
      </c>
      <c r="C154" s="38" t="s">
        <v>49</v>
      </c>
      <c r="D154" s="39">
        <f t="shared" si="2"/>
        <v>24</v>
      </c>
    </row>
    <row r="155" spans="2:4" x14ac:dyDescent="0.2">
      <c r="B155" s="37" t="s">
        <v>61</v>
      </c>
      <c r="C155" s="38" t="s">
        <v>49</v>
      </c>
      <c r="D155" s="39">
        <f t="shared" si="2"/>
        <v>30</v>
      </c>
    </row>
    <row r="156" spans="2:4" x14ac:dyDescent="0.2">
      <c r="B156" s="37" t="s">
        <v>62</v>
      </c>
      <c r="C156" s="38" t="s">
        <v>49</v>
      </c>
      <c r="D156" s="39">
        <f t="shared" si="2"/>
        <v>24</v>
      </c>
    </row>
    <row r="157" spans="2:4" x14ac:dyDescent="0.2">
      <c r="B157" s="37" t="s">
        <v>57</v>
      </c>
      <c r="C157" s="38" t="s">
        <v>49</v>
      </c>
      <c r="D157" s="39">
        <f t="shared" si="2"/>
        <v>84</v>
      </c>
    </row>
    <row r="158" spans="2:4" x14ac:dyDescent="0.2">
      <c r="B158" s="37" t="s">
        <v>63</v>
      </c>
      <c r="C158" s="38" t="s">
        <v>49</v>
      </c>
      <c r="D158" s="39">
        <f t="shared" si="2"/>
        <v>24</v>
      </c>
    </row>
    <row r="159" spans="2:4" x14ac:dyDescent="0.2">
      <c r="B159" s="37" t="s">
        <v>63</v>
      </c>
      <c r="C159" s="38" t="s">
        <v>49</v>
      </c>
      <c r="D159" s="39">
        <f t="shared" si="2"/>
        <v>24</v>
      </c>
    </row>
    <row r="160" spans="2:4" x14ac:dyDescent="0.2">
      <c r="B160" s="37" t="s">
        <v>61</v>
      </c>
      <c r="C160" s="38" t="s">
        <v>49</v>
      </c>
      <c r="D160" s="39">
        <f t="shared" si="2"/>
        <v>30</v>
      </c>
    </row>
    <row r="161" spans="2:4" x14ac:dyDescent="0.2">
      <c r="B161" s="37" t="s">
        <v>54</v>
      </c>
      <c r="C161" s="38" t="s">
        <v>48</v>
      </c>
      <c r="D161" s="39">
        <f t="shared" si="2"/>
        <v>100</v>
      </c>
    </row>
    <row r="162" spans="2:4" x14ac:dyDescent="0.2">
      <c r="B162" s="37" t="s">
        <v>52</v>
      </c>
      <c r="C162" s="38" t="s">
        <v>49</v>
      </c>
      <c r="D162" s="39">
        <f t="shared" si="2"/>
        <v>168</v>
      </c>
    </row>
    <row r="163" spans="2:4" x14ac:dyDescent="0.2">
      <c r="B163" s="37" t="s">
        <v>62</v>
      </c>
      <c r="C163" s="38" t="s">
        <v>49</v>
      </c>
      <c r="D163" s="39">
        <f t="shared" si="2"/>
        <v>24</v>
      </c>
    </row>
    <row r="164" spans="2:4" x14ac:dyDescent="0.2">
      <c r="B164" s="37" t="s">
        <v>60</v>
      </c>
      <c r="C164" s="38" t="s">
        <v>48</v>
      </c>
      <c r="D164" s="39">
        <f t="shared" si="2"/>
        <v>35</v>
      </c>
    </row>
    <row r="165" spans="2:4" x14ac:dyDescent="0.2">
      <c r="B165" s="37" t="s">
        <v>60</v>
      </c>
      <c r="C165" s="38" t="s">
        <v>49</v>
      </c>
      <c r="D165" s="39">
        <f t="shared" si="2"/>
        <v>42</v>
      </c>
    </row>
    <row r="166" spans="2:4" x14ac:dyDescent="0.2">
      <c r="B166" s="37" t="s">
        <v>63</v>
      </c>
      <c r="C166" s="38" t="s">
        <v>48</v>
      </c>
      <c r="D166" s="39">
        <f t="shared" si="2"/>
        <v>20</v>
      </c>
    </row>
    <row r="167" spans="2:4" x14ac:dyDescent="0.2">
      <c r="B167" s="37" t="s">
        <v>60</v>
      </c>
      <c r="C167" s="38" t="s">
        <v>48</v>
      </c>
      <c r="D167" s="39">
        <f t="shared" si="2"/>
        <v>35</v>
      </c>
    </row>
    <row r="168" spans="2:4" x14ac:dyDescent="0.2">
      <c r="B168" s="37" t="s">
        <v>54</v>
      </c>
      <c r="C168" s="38" t="s">
        <v>48</v>
      </c>
      <c r="D168" s="39">
        <f t="shared" si="2"/>
        <v>100</v>
      </c>
    </row>
    <row r="169" spans="2:4" x14ac:dyDescent="0.2">
      <c r="B169" s="37" t="s">
        <v>62</v>
      </c>
      <c r="C169" s="38" t="s">
        <v>49</v>
      </c>
      <c r="D169" s="39">
        <f t="shared" si="2"/>
        <v>24</v>
      </c>
    </row>
    <row r="170" spans="2:4" x14ac:dyDescent="0.2">
      <c r="B170" s="37" t="s">
        <v>61</v>
      </c>
      <c r="C170" s="38" t="s">
        <v>49</v>
      </c>
      <c r="D170" s="39">
        <f t="shared" si="2"/>
        <v>30</v>
      </c>
    </row>
    <row r="171" spans="2:4" x14ac:dyDescent="0.2">
      <c r="B171" s="37" t="s">
        <v>55</v>
      </c>
      <c r="C171" s="38" t="s">
        <v>49</v>
      </c>
      <c r="D171" s="39">
        <f t="shared" si="2"/>
        <v>120</v>
      </c>
    </row>
    <row r="172" spans="2:4" x14ac:dyDescent="0.2">
      <c r="B172" s="37" t="s">
        <v>57</v>
      </c>
      <c r="C172" s="38" t="s">
        <v>49</v>
      </c>
      <c r="D172" s="39">
        <f t="shared" si="2"/>
        <v>84</v>
      </c>
    </row>
    <row r="173" spans="2:4" x14ac:dyDescent="0.2">
      <c r="B173" s="37" t="s">
        <v>60</v>
      </c>
      <c r="C173" s="38" t="s">
        <v>49</v>
      </c>
      <c r="D173" s="39">
        <f t="shared" si="2"/>
        <v>42</v>
      </c>
    </row>
    <row r="174" spans="2:4" x14ac:dyDescent="0.2">
      <c r="B174" s="37" t="s">
        <v>63</v>
      </c>
      <c r="C174" s="38" t="s">
        <v>48</v>
      </c>
      <c r="D174" s="39">
        <f t="shared" si="2"/>
        <v>20</v>
      </c>
    </row>
    <row r="175" spans="2:4" x14ac:dyDescent="0.2">
      <c r="B175" s="37" t="s">
        <v>57</v>
      </c>
      <c r="C175" s="38" t="s">
        <v>48</v>
      </c>
      <c r="D175" s="39">
        <f t="shared" si="2"/>
        <v>70</v>
      </c>
    </row>
    <row r="176" spans="2:4" x14ac:dyDescent="0.2">
      <c r="B176" s="37" t="s">
        <v>63</v>
      </c>
      <c r="C176" s="38" t="s">
        <v>48</v>
      </c>
      <c r="D176" s="39">
        <f t="shared" si="2"/>
        <v>20</v>
      </c>
    </row>
    <row r="177" spans="2:4" x14ac:dyDescent="0.2">
      <c r="B177" s="37" t="s">
        <v>62</v>
      </c>
      <c r="C177" s="38" t="s">
        <v>48</v>
      </c>
      <c r="D177" s="39">
        <f t="shared" si="2"/>
        <v>20</v>
      </c>
    </row>
    <row r="178" spans="2:4" x14ac:dyDescent="0.2">
      <c r="B178" s="37" t="s">
        <v>61</v>
      </c>
      <c r="C178" s="38" t="s">
        <v>49</v>
      </c>
      <c r="D178" s="39">
        <f t="shared" si="2"/>
        <v>30</v>
      </c>
    </row>
    <row r="179" spans="2:4" x14ac:dyDescent="0.2">
      <c r="B179" s="37" t="s">
        <v>54</v>
      </c>
      <c r="C179" s="38" t="s">
        <v>48</v>
      </c>
      <c r="D179" s="39">
        <f t="shared" si="2"/>
        <v>100</v>
      </c>
    </row>
    <row r="180" spans="2:4" x14ac:dyDescent="0.2">
      <c r="B180" s="37" t="s">
        <v>54</v>
      </c>
      <c r="C180" s="38" t="s">
        <v>49</v>
      </c>
      <c r="D180" s="39">
        <f t="shared" si="2"/>
        <v>120</v>
      </c>
    </row>
    <row r="181" spans="2:4" x14ac:dyDescent="0.2">
      <c r="B181" s="37" t="s">
        <v>54</v>
      </c>
      <c r="C181" s="38" t="s">
        <v>48</v>
      </c>
      <c r="D181" s="39">
        <f t="shared" si="2"/>
        <v>100</v>
      </c>
    </row>
    <row r="182" spans="2:4" x14ac:dyDescent="0.2">
      <c r="B182" s="37" t="s">
        <v>57</v>
      </c>
      <c r="C182" s="38" t="s">
        <v>48</v>
      </c>
      <c r="D182" s="39">
        <f t="shared" si="2"/>
        <v>70</v>
      </c>
    </row>
    <row r="183" spans="2:4" x14ac:dyDescent="0.2">
      <c r="B183" s="37" t="s">
        <v>60</v>
      </c>
      <c r="C183" s="38" t="s">
        <v>49</v>
      </c>
      <c r="D183" s="39">
        <f t="shared" si="2"/>
        <v>42</v>
      </c>
    </row>
    <row r="184" spans="2:4" x14ac:dyDescent="0.2">
      <c r="B184" s="37" t="s">
        <v>62</v>
      </c>
      <c r="C184" s="38" t="s">
        <v>49</v>
      </c>
      <c r="D184" s="39">
        <f t="shared" si="2"/>
        <v>24</v>
      </c>
    </row>
    <row r="185" spans="2:4" x14ac:dyDescent="0.2">
      <c r="B185" s="37" t="s">
        <v>60</v>
      </c>
      <c r="C185" s="38" t="s">
        <v>48</v>
      </c>
      <c r="D185" s="39">
        <f t="shared" si="2"/>
        <v>35</v>
      </c>
    </row>
    <row r="186" spans="2:4" x14ac:dyDescent="0.2">
      <c r="B186" s="37" t="s">
        <v>60</v>
      </c>
      <c r="C186" s="38" t="s">
        <v>48</v>
      </c>
      <c r="D186" s="39">
        <f t="shared" si="2"/>
        <v>35</v>
      </c>
    </row>
    <row r="187" spans="2:4" x14ac:dyDescent="0.2">
      <c r="B187" s="37" t="s">
        <v>60</v>
      </c>
      <c r="C187" s="38" t="s">
        <v>48</v>
      </c>
      <c r="D187" s="39">
        <f t="shared" si="2"/>
        <v>35</v>
      </c>
    </row>
    <row r="188" spans="2:4" x14ac:dyDescent="0.2">
      <c r="B188" s="37" t="s">
        <v>57</v>
      </c>
      <c r="C188" s="38" t="s">
        <v>49</v>
      </c>
      <c r="D188" s="39">
        <f t="shared" si="2"/>
        <v>84</v>
      </c>
    </row>
    <row r="189" spans="2:4" x14ac:dyDescent="0.2">
      <c r="B189" s="37" t="s">
        <v>53</v>
      </c>
      <c r="C189" s="38" t="s">
        <v>48</v>
      </c>
      <c r="D189" s="39">
        <f t="shared" si="2"/>
        <v>100</v>
      </c>
    </row>
    <row r="190" spans="2:4" x14ac:dyDescent="0.2">
      <c r="B190" s="37" t="s">
        <v>60</v>
      </c>
      <c r="C190" s="38" t="s">
        <v>48</v>
      </c>
      <c r="D190" s="39">
        <f t="shared" si="2"/>
        <v>35</v>
      </c>
    </row>
    <row r="191" spans="2:4" x14ac:dyDescent="0.2">
      <c r="B191" s="37" t="s">
        <v>61</v>
      </c>
      <c r="C191" s="38" t="s">
        <v>49</v>
      </c>
      <c r="D191" s="39">
        <f t="shared" si="2"/>
        <v>30</v>
      </c>
    </row>
    <row r="192" spans="2:4" x14ac:dyDescent="0.2">
      <c r="B192" s="37" t="s">
        <v>58</v>
      </c>
      <c r="C192" s="38" t="s">
        <v>48</v>
      </c>
      <c r="D192" s="39">
        <f t="shared" si="2"/>
        <v>60</v>
      </c>
    </row>
    <row r="193" spans="2:4" x14ac:dyDescent="0.2">
      <c r="B193" s="37" t="s">
        <v>62</v>
      </c>
      <c r="C193" s="38" t="s">
        <v>48</v>
      </c>
      <c r="D193" s="39">
        <f t="shared" si="2"/>
        <v>20</v>
      </c>
    </row>
    <row r="194" spans="2:4" x14ac:dyDescent="0.2">
      <c r="B194" s="37" t="s">
        <v>60</v>
      </c>
      <c r="C194" s="38" t="s">
        <v>48</v>
      </c>
      <c r="D194" s="39">
        <f t="shared" si="2"/>
        <v>35</v>
      </c>
    </row>
    <row r="195" spans="2:4" x14ac:dyDescent="0.2">
      <c r="B195" s="37" t="s">
        <v>61</v>
      </c>
      <c r="C195" s="38" t="s">
        <v>48</v>
      </c>
      <c r="D195" s="39">
        <f t="shared" si="2"/>
        <v>25</v>
      </c>
    </row>
    <row r="196" spans="2:4" x14ac:dyDescent="0.2">
      <c r="B196" s="37" t="s">
        <v>61</v>
      </c>
      <c r="C196" s="38" t="s">
        <v>49</v>
      </c>
      <c r="D196" s="39">
        <f t="shared" si="2"/>
        <v>30</v>
      </c>
    </row>
    <row r="197" spans="2:4" x14ac:dyDescent="0.2">
      <c r="B197" s="37" t="s">
        <v>57</v>
      </c>
      <c r="C197" s="38" t="s">
        <v>49</v>
      </c>
      <c r="D197" s="39">
        <f t="shared" si="2"/>
        <v>84</v>
      </c>
    </row>
    <row r="198" spans="2:4" x14ac:dyDescent="0.2">
      <c r="B198" s="37" t="s">
        <v>60</v>
      </c>
      <c r="C198" s="38" t="s">
        <v>49</v>
      </c>
      <c r="D198" s="39">
        <f t="shared" si="2"/>
        <v>42</v>
      </c>
    </row>
    <row r="199" spans="2:4" x14ac:dyDescent="0.2">
      <c r="B199" s="37" t="s">
        <v>60</v>
      </c>
      <c r="C199" s="38" t="s">
        <v>49</v>
      </c>
      <c r="D199" s="39">
        <f t="shared" si="2"/>
        <v>42</v>
      </c>
    </row>
    <row r="200" spans="2:4" x14ac:dyDescent="0.2">
      <c r="B200" s="37" t="s">
        <v>64</v>
      </c>
      <c r="C200" s="38" t="s">
        <v>48</v>
      </c>
      <c r="D200" s="39">
        <f t="shared" ref="D200:D263" si="3">WarrantyPrice(B200,C200)</f>
        <v>5</v>
      </c>
    </row>
    <row r="201" spans="2:4" x14ac:dyDescent="0.2">
      <c r="B201" s="37" t="s">
        <v>64</v>
      </c>
      <c r="C201" s="38" t="s">
        <v>49</v>
      </c>
      <c r="D201" s="39">
        <f t="shared" si="3"/>
        <v>6</v>
      </c>
    </row>
    <row r="202" spans="2:4" x14ac:dyDescent="0.2">
      <c r="B202" s="37" t="s">
        <v>63</v>
      </c>
      <c r="C202" s="38" t="s">
        <v>49</v>
      </c>
      <c r="D202" s="39">
        <f t="shared" si="3"/>
        <v>24</v>
      </c>
    </row>
    <row r="203" spans="2:4" x14ac:dyDescent="0.2">
      <c r="B203" s="37" t="s">
        <v>59</v>
      </c>
      <c r="C203" s="38" t="s">
        <v>49</v>
      </c>
      <c r="D203" s="39">
        <f t="shared" si="3"/>
        <v>60</v>
      </c>
    </row>
    <row r="204" spans="2:4" x14ac:dyDescent="0.2">
      <c r="B204" s="37" t="s">
        <v>58</v>
      </c>
      <c r="C204" s="38" t="s">
        <v>49</v>
      </c>
      <c r="D204" s="39">
        <f t="shared" si="3"/>
        <v>72</v>
      </c>
    </row>
    <row r="205" spans="2:4" x14ac:dyDescent="0.2">
      <c r="B205" s="37" t="s">
        <v>62</v>
      </c>
      <c r="C205" s="38" t="s">
        <v>48</v>
      </c>
      <c r="D205" s="39">
        <f t="shared" si="3"/>
        <v>20</v>
      </c>
    </row>
    <row r="206" spans="2:4" x14ac:dyDescent="0.2">
      <c r="B206" s="37" t="s">
        <v>63</v>
      </c>
      <c r="C206" s="38" t="s">
        <v>48</v>
      </c>
      <c r="D206" s="39">
        <f t="shared" si="3"/>
        <v>20</v>
      </c>
    </row>
    <row r="207" spans="2:4" x14ac:dyDescent="0.2">
      <c r="B207" s="37" t="s">
        <v>63</v>
      </c>
      <c r="C207" s="38" t="s">
        <v>49</v>
      </c>
      <c r="D207" s="39">
        <f t="shared" si="3"/>
        <v>24</v>
      </c>
    </row>
    <row r="208" spans="2:4" x14ac:dyDescent="0.2">
      <c r="B208" s="37" t="s">
        <v>60</v>
      </c>
      <c r="C208" s="38" t="s">
        <v>49</v>
      </c>
      <c r="D208" s="39">
        <f t="shared" si="3"/>
        <v>42</v>
      </c>
    </row>
    <row r="209" spans="2:4" x14ac:dyDescent="0.2">
      <c r="B209" s="37" t="s">
        <v>60</v>
      </c>
      <c r="C209" s="38" t="s">
        <v>49</v>
      </c>
      <c r="D209" s="39">
        <f t="shared" si="3"/>
        <v>42</v>
      </c>
    </row>
    <row r="210" spans="2:4" x14ac:dyDescent="0.2">
      <c r="B210" s="37" t="s">
        <v>54</v>
      </c>
      <c r="C210" s="38" t="s">
        <v>48</v>
      </c>
      <c r="D210" s="39">
        <f t="shared" si="3"/>
        <v>100</v>
      </c>
    </row>
    <row r="211" spans="2:4" x14ac:dyDescent="0.2">
      <c r="B211" s="37" t="s">
        <v>53</v>
      </c>
      <c r="C211" s="38" t="s">
        <v>49</v>
      </c>
      <c r="D211" s="39">
        <f t="shared" si="3"/>
        <v>120</v>
      </c>
    </row>
    <row r="212" spans="2:4" x14ac:dyDescent="0.2">
      <c r="B212" s="37" t="s">
        <v>54</v>
      </c>
      <c r="C212" s="38" t="s">
        <v>49</v>
      </c>
      <c r="D212" s="39">
        <f t="shared" si="3"/>
        <v>120</v>
      </c>
    </row>
    <row r="213" spans="2:4" x14ac:dyDescent="0.2">
      <c r="B213" s="37" t="s">
        <v>63</v>
      </c>
      <c r="C213" s="38" t="s">
        <v>49</v>
      </c>
      <c r="D213" s="39">
        <f t="shared" si="3"/>
        <v>24</v>
      </c>
    </row>
    <row r="214" spans="2:4" x14ac:dyDescent="0.2">
      <c r="B214" s="37" t="s">
        <v>56</v>
      </c>
      <c r="C214" s="38" t="s">
        <v>48</v>
      </c>
      <c r="D214" s="39">
        <f t="shared" si="3"/>
        <v>80</v>
      </c>
    </row>
    <row r="215" spans="2:4" x14ac:dyDescent="0.2">
      <c r="B215" s="37" t="s">
        <v>60</v>
      </c>
      <c r="C215" s="38" t="s">
        <v>48</v>
      </c>
      <c r="D215" s="39">
        <f t="shared" si="3"/>
        <v>35</v>
      </c>
    </row>
    <row r="216" spans="2:4" x14ac:dyDescent="0.2">
      <c r="B216" s="37" t="s">
        <v>63</v>
      </c>
      <c r="C216" s="38" t="s">
        <v>48</v>
      </c>
      <c r="D216" s="39">
        <f t="shared" si="3"/>
        <v>20</v>
      </c>
    </row>
    <row r="217" spans="2:4" x14ac:dyDescent="0.2">
      <c r="B217" s="37" t="s">
        <v>61</v>
      </c>
      <c r="C217" s="38" t="s">
        <v>48</v>
      </c>
      <c r="D217" s="39">
        <f t="shared" si="3"/>
        <v>25</v>
      </c>
    </row>
    <row r="218" spans="2:4" x14ac:dyDescent="0.2">
      <c r="B218" s="37" t="s">
        <v>63</v>
      </c>
      <c r="C218" s="38" t="s">
        <v>49</v>
      </c>
      <c r="D218" s="39">
        <f t="shared" si="3"/>
        <v>24</v>
      </c>
    </row>
    <row r="219" spans="2:4" x14ac:dyDescent="0.2">
      <c r="B219" s="37" t="s">
        <v>63</v>
      </c>
      <c r="C219" s="38" t="s">
        <v>48</v>
      </c>
      <c r="D219" s="39">
        <f t="shared" si="3"/>
        <v>20</v>
      </c>
    </row>
    <row r="220" spans="2:4" x14ac:dyDescent="0.2">
      <c r="B220" s="37" t="s">
        <v>63</v>
      </c>
      <c r="C220" s="38" t="s">
        <v>49</v>
      </c>
      <c r="D220" s="39">
        <f t="shared" si="3"/>
        <v>24</v>
      </c>
    </row>
    <row r="221" spans="2:4" x14ac:dyDescent="0.2">
      <c r="B221" s="37" t="s">
        <v>52</v>
      </c>
      <c r="C221" s="38" t="s">
        <v>49</v>
      </c>
      <c r="D221" s="39">
        <f t="shared" si="3"/>
        <v>168</v>
      </c>
    </row>
    <row r="222" spans="2:4" x14ac:dyDescent="0.2">
      <c r="B222" s="37" t="s">
        <v>60</v>
      </c>
      <c r="C222" s="38" t="s">
        <v>49</v>
      </c>
      <c r="D222" s="39">
        <f t="shared" si="3"/>
        <v>42</v>
      </c>
    </row>
    <row r="223" spans="2:4" x14ac:dyDescent="0.2">
      <c r="B223" s="37" t="s">
        <v>54</v>
      </c>
      <c r="C223" s="38" t="s">
        <v>49</v>
      </c>
      <c r="D223" s="39">
        <f t="shared" si="3"/>
        <v>120</v>
      </c>
    </row>
    <row r="224" spans="2:4" x14ac:dyDescent="0.2">
      <c r="B224" s="37" t="s">
        <v>63</v>
      </c>
      <c r="C224" s="38" t="s">
        <v>48</v>
      </c>
      <c r="D224" s="39">
        <f t="shared" si="3"/>
        <v>20</v>
      </c>
    </row>
    <row r="225" spans="2:4" x14ac:dyDescent="0.2">
      <c r="B225" s="37" t="s">
        <v>62</v>
      </c>
      <c r="C225" s="38" t="s">
        <v>49</v>
      </c>
      <c r="D225" s="39">
        <f t="shared" si="3"/>
        <v>24</v>
      </c>
    </row>
    <row r="226" spans="2:4" x14ac:dyDescent="0.2">
      <c r="B226" s="37" t="s">
        <v>57</v>
      </c>
      <c r="C226" s="38" t="s">
        <v>48</v>
      </c>
      <c r="D226" s="39">
        <f t="shared" si="3"/>
        <v>70</v>
      </c>
    </row>
    <row r="227" spans="2:4" x14ac:dyDescent="0.2">
      <c r="B227" s="37" t="s">
        <v>60</v>
      </c>
      <c r="C227" s="38" t="s">
        <v>49</v>
      </c>
      <c r="D227" s="39">
        <f t="shared" si="3"/>
        <v>42</v>
      </c>
    </row>
    <row r="228" spans="2:4" x14ac:dyDescent="0.2">
      <c r="B228" s="37" t="s">
        <v>60</v>
      </c>
      <c r="C228" s="38" t="s">
        <v>49</v>
      </c>
      <c r="D228" s="39">
        <f t="shared" si="3"/>
        <v>42</v>
      </c>
    </row>
    <row r="229" spans="2:4" x14ac:dyDescent="0.2">
      <c r="B229" s="37" t="s">
        <v>55</v>
      </c>
      <c r="C229" s="38" t="s">
        <v>49</v>
      </c>
      <c r="D229" s="39">
        <f t="shared" si="3"/>
        <v>120</v>
      </c>
    </row>
    <row r="230" spans="2:4" x14ac:dyDescent="0.2">
      <c r="B230" s="37" t="s">
        <v>57</v>
      </c>
      <c r="C230" s="38" t="s">
        <v>48</v>
      </c>
      <c r="D230" s="39">
        <f t="shared" si="3"/>
        <v>70</v>
      </c>
    </row>
    <row r="231" spans="2:4" x14ac:dyDescent="0.2">
      <c r="B231" s="37" t="s">
        <v>62</v>
      </c>
      <c r="C231" s="38" t="s">
        <v>48</v>
      </c>
      <c r="D231" s="39">
        <f t="shared" si="3"/>
        <v>20</v>
      </c>
    </row>
    <row r="232" spans="2:4" x14ac:dyDescent="0.2">
      <c r="B232" s="37" t="s">
        <v>59</v>
      </c>
      <c r="C232" s="38" t="s">
        <v>48</v>
      </c>
      <c r="D232" s="39">
        <f t="shared" si="3"/>
        <v>50</v>
      </c>
    </row>
    <row r="233" spans="2:4" x14ac:dyDescent="0.2">
      <c r="B233" s="37" t="s">
        <v>63</v>
      </c>
      <c r="C233" s="38" t="s">
        <v>48</v>
      </c>
      <c r="D233" s="39">
        <f t="shared" si="3"/>
        <v>20</v>
      </c>
    </row>
    <row r="234" spans="2:4" x14ac:dyDescent="0.2">
      <c r="B234" s="37" t="s">
        <v>51</v>
      </c>
      <c r="C234" s="38" t="s">
        <v>48</v>
      </c>
      <c r="D234" s="39">
        <f t="shared" si="3"/>
        <v>200</v>
      </c>
    </row>
    <row r="235" spans="2:4" x14ac:dyDescent="0.2">
      <c r="B235" s="37" t="s">
        <v>51</v>
      </c>
      <c r="C235" s="38" t="s">
        <v>49</v>
      </c>
      <c r="D235" s="39">
        <f t="shared" si="3"/>
        <v>240</v>
      </c>
    </row>
    <row r="236" spans="2:4" x14ac:dyDescent="0.2">
      <c r="B236" s="37" t="s">
        <v>60</v>
      </c>
      <c r="C236" s="38" t="s">
        <v>48</v>
      </c>
      <c r="D236" s="39">
        <f t="shared" si="3"/>
        <v>35</v>
      </c>
    </row>
    <row r="237" spans="2:4" x14ac:dyDescent="0.2">
      <c r="B237" s="37" t="s">
        <v>62</v>
      </c>
      <c r="C237" s="38" t="s">
        <v>48</v>
      </c>
      <c r="D237" s="39">
        <f t="shared" si="3"/>
        <v>20</v>
      </c>
    </row>
    <row r="238" spans="2:4" x14ac:dyDescent="0.2">
      <c r="B238" s="37" t="s">
        <v>62</v>
      </c>
      <c r="C238" s="38" t="s">
        <v>49</v>
      </c>
      <c r="D238" s="39">
        <f t="shared" si="3"/>
        <v>24</v>
      </c>
    </row>
    <row r="239" spans="2:4" x14ac:dyDescent="0.2">
      <c r="B239" s="37" t="s">
        <v>60</v>
      </c>
      <c r="C239" s="38" t="s">
        <v>49</v>
      </c>
      <c r="D239" s="39">
        <f t="shared" si="3"/>
        <v>42</v>
      </c>
    </row>
    <row r="240" spans="2:4" x14ac:dyDescent="0.2">
      <c r="B240" s="37" t="s">
        <v>62</v>
      </c>
      <c r="C240" s="38" t="s">
        <v>48</v>
      </c>
      <c r="D240" s="39">
        <f t="shared" si="3"/>
        <v>20</v>
      </c>
    </row>
    <row r="241" spans="2:4" x14ac:dyDescent="0.2">
      <c r="B241" s="37" t="s">
        <v>61</v>
      </c>
      <c r="C241" s="38" t="s">
        <v>48</v>
      </c>
      <c r="D241" s="39">
        <f t="shared" si="3"/>
        <v>25</v>
      </c>
    </row>
    <row r="242" spans="2:4" x14ac:dyDescent="0.2">
      <c r="B242" s="37" t="s">
        <v>54</v>
      </c>
      <c r="C242" s="38" t="s">
        <v>48</v>
      </c>
      <c r="D242" s="39">
        <f t="shared" si="3"/>
        <v>100</v>
      </c>
    </row>
    <row r="243" spans="2:4" x14ac:dyDescent="0.2">
      <c r="B243" s="37" t="s">
        <v>60</v>
      </c>
      <c r="C243" s="38" t="s">
        <v>48</v>
      </c>
      <c r="D243" s="39">
        <f t="shared" si="3"/>
        <v>35</v>
      </c>
    </row>
    <row r="244" spans="2:4" x14ac:dyDescent="0.2">
      <c r="B244" s="37" t="s">
        <v>60</v>
      </c>
      <c r="C244" s="38" t="s">
        <v>48</v>
      </c>
      <c r="D244" s="39">
        <f t="shared" si="3"/>
        <v>35</v>
      </c>
    </row>
    <row r="245" spans="2:4" x14ac:dyDescent="0.2">
      <c r="B245" s="37" t="s">
        <v>54</v>
      </c>
      <c r="C245" s="38" t="s">
        <v>49</v>
      </c>
      <c r="D245" s="39">
        <f t="shared" si="3"/>
        <v>120</v>
      </c>
    </row>
    <row r="246" spans="2:4" x14ac:dyDescent="0.2">
      <c r="B246" s="37" t="s">
        <v>63</v>
      </c>
      <c r="C246" s="38" t="s">
        <v>49</v>
      </c>
      <c r="D246" s="39">
        <f t="shared" si="3"/>
        <v>24</v>
      </c>
    </row>
    <row r="247" spans="2:4" x14ac:dyDescent="0.2">
      <c r="B247" s="37" t="s">
        <v>63</v>
      </c>
      <c r="C247" s="38" t="s">
        <v>49</v>
      </c>
      <c r="D247" s="39">
        <f t="shared" si="3"/>
        <v>24</v>
      </c>
    </row>
    <row r="248" spans="2:4" x14ac:dyDescent="0.2">
      <c r="B248" s="37" t="s">
        <v>61</v>
      </c>
      <c r="C248" s="38" t="s">
        <v>49</v>
      </c>
      <c r="D248" s="39">
        <f t="shared" si="3"/>
        <v>30</v>
      </c>
    </row>
    <row r="249" spans="2:4" x14ac:dyDescent="0.2">
      <c r="B249" s="37" t="s">
        <v>60</v>
      </c>
      <c r="C249" s="38" t="s">
        <v>48</v>
      </c>
      <c r="D249" s="39">
        <f t="shared" si="3"/>
        <v>35</v>
      </c>
    </row>
    <row r="250" spans="2:4" x14ac:dyDescent="0.2">
      <c r="B250" s="37" t="s">
        <v>63</v>
      </c>
      <c r="C250" s="38" t="s">
        <v>48</v>
      </c>
      <c r="D250" s="39">
        <f t="shared" si="3"/>
        <v>20</v>
      </c>
    </row>
    <row r="251" spans="2:4" x14ac:dyDescent="0.2">
      <c r="B251" s="37" t="s">
        <v>63</v>
      </c>
      <c r="C251" s="38" t="s">
        <v>48</v>
      </c>
      <c r="D251" s="39">
        <f t="shared" si="3"/>
        <v>20</v>
      </c>
    </row>
    <row r="252" spans="2:4" x14ac:dyDescent="0.2">
      <c r="B252" s="37" t="s">
        <v>63</v>
      </c>
      <c r="C252" s="38" t="s">
        <v>49</v>
      </c>
      <c r="D252" s="39">
        <f t="shared" si="3"/>
        <v>24</v>
      </c>
    </row>
    <row r="253" spans="2:4" x14ac:dyDescent="0.2">
      <c r="B253" s="37" t="s">
        <v>60</v>
      </c>
      <c r="C253" s="38" t="s">
        <v>48</v>
      </c>
      <c r="D253" s="39">
        <f t="shared" si="3"/>
        <v>35</v>
      </c>
    </row>
    <row r="254" spans="2:4" x14ac:dyDescent="0.2">
      <c r="B254" s="37" t="s">
        <v>55</v>
      </c>
      <c r="C254" s="38" t="s">
        <v>48</v>
      </c>
      <c r="D254" s="39">
        <f t="shared" si="3"/>
        <v>100</v>
      </c>
    </row>
    <row r="255" spans="2:4" x14ac:dyDescent="0.2">
      <c r="B255" s="37" t="s">
        <v>61</v>
      </c>
      <c r="C255" s="38" t="s">
        <v>49</v>
      </c>
      <c r="D255" s="39">
        <f t="shared" si="3"/>
        <v>30</v>
      </c>
    </row>
    <row r="256" spans="2:4" x14ac:dyDescent="0.2">
      <c r="B256" s="37" t="s">
        <v>63</v>
      </c>
      <c r="C256" s="38" t="s">
        <v>49</v>
      </c>
      <c r="D256" s="39">
        <f t="shared" si="3"/>
        <v>24</v>
      </c>
    </row>
    <row r="257" spans="2:4" x14ac:dyDescent="0.2">
      <c r="B257" s="37" t="s">
        <v>54</v>
      </c>
      <c r="C257" s="38" t="s">
        <v>48</v>
      </c>
      <c r="D257" s="39">
        <f t="shared" si="3"/>
        <v>100</v>
      </c>
    </row>
    <row r="258" spans="2:4" x14ac:dyDescent="0.2">
      <c r="B258" s="37" t="s">
        <v>61</v>
      </c>
      <c r="C258" s="38" t="s">
        <v>49</v>
      </c>
      <c r="D258" s="39">
        <f t="shared" si="3"/>
        <v>30</v>
      </c>
    </row>
    <row r="259" spans="2:4" x14ac:dyDescent="0.2">
      <c r="B259" s="37" t="s">
        <v>61</v>
      </c>
      <c r="C259" s="38" t="s">
        <v>49</v>
      </c>
      <c r="D259" s="39">
        <f t="shared" si="3"/>
        <v>30</v>
      </c>
    </row>
    <row r="260" spans="2:4" x14ac:dyDescent="0.2">
      <c r="B260" s="37" t="s">
        <v>54</v>
      </c>
      <c r="C260" s="38" t="s">
        <v>48</v>
      </c>
      <c r="D260" s="39">
        <f t="shared" si="3"/>
        <v>100</v>
      </c>
    </row>
    <row r="261" spans="2:4" x14ac:dyDescent="0.2">
      <c r="B261" s="37" t="s">
        <v>57</v>
      </c>
      <c r="C261" s="38" t="s">
        <v>49</v>
      </c>
      <c r="D261" s="39">
        <f t="shared" si="3"/>
        <v>84</v>
      </c>
    </row>
    <row r="262" spans="2:4" x14ac:dyDescent="0.2">
      <c r="B262" s="37" t="s">
        <v>60</v>
      </c>
      <c r="C262" s="38" t="s">
        <v>49</v>
      </c>
      <c r="D262" s="39">
        <f t="shared" si="3"/>
        <v>42</v>
      </c>
    </row>
    <row r="263" spans="2:4" x14ac:dyDescent="0.2">
      <c r="B263" s="37" t="s">
        <v>63</v>
      </c>
      <c r="C263" s="38" t="s">
        <v>49</v>
      </c>
      <c r="D263" s="39">
        <f t="shared" si="3"/>
        <v>24</v>
      </c>
    </row>
    <row r="264" spans="2:4" x14ac:dyDescent="0.2">
      <c r="B264" s="37" t="s">
        <v>63</v>
      </c>
      <c r="C264" s="38" t="s">
        <v>48</v>
      </c>
      <c r="D264" s="39">
        <f t="shared" ref="D264:D327" si="4">WarrantyPrice(B264,C264)</f>
        <v>20</v>
      </c>
    </row>
    <row r="265" spans="2:4" x14ac:dyDescent="0.2">
      <c r="B265" s="37" t="s">
        <v>57</v>
      </c>
      <c r="C265" s="38" t="s">
        <v>48</v>
      </c>
      <c r="D265" s="39">
        <f t="shared" si="4"/>
        <v>70</v>
      </c>
    </row>
    <row r="266" spans="2:4" x14ac:dyDescent="0.2">
      <c r="B266" s="37" t="s">
        <v>63</v>
      </c>
      <c r="C266" s="38" t="s">
        <v>49</v>
      </c>
      <c r="D266" s="39">
        <f t="shared" si="4"/>
        <v>24</v>
      </c>
    </row>
    <row r="267" spans="2:4" x14ac:dyDescent="0.2">
      <c r="B267" s="37" t="s">
        <v>61</v>
      </c>
      <c r="C267" s="38" t="s">
        <v>49</v>
      </c>
      <c r="D267" s="39">
        <f t="shared" si="4"/>
        <v>30</v>
      </c>
    </row>
    <row r="268" spans="2:4" x14ac:dyDescent="0.2">
      <c r="B268" s="37" t="s">
        <v>60</v>
      </c>
      <c r="C268" s="38" t="s">
        <v>48</v>
      </c>
      <c r="D268" s="39">
        <f t="shared" si="4"/>
        <v>35</v>
      </c>
    </row>
    <row r="269" spans="2:4" x14ac:dyDescent="0.2">
      <c r="B269" s="37" t="s">
        <v>56</v>
      </c>
      <c r="C269" s="38" t="s">
        <v>48</v>
      </c>
      <c r="D269" s="39">
        <f t="shared" si="4"/>
        <v>80</v>
      </c>
    </row>
    <row r="270" spans="2:4" x14ac:dyDescent="0.2">
      <c r="B270" s="37" t="s">
        <v>52</v>
      </c>
      <c r="C270" s="38" t="s">
        <v>49</v>
      </c>
      <c r="D270" s="39">
        <f t="shared" si="4"/>
        <v>168</v>
      </c>
    </row>
    <row r="271" spans="2:4" x14ac:dyDescent="0.2">
      <c r="B271" s="37" t="s">
        <v>62</v>
      </c>
      <c r="C271" s="38" t="s">
        <v>48</v>
      </c>
      <c r="D271" s="39">
        <f t="shared" si="4"/>
        <v>20</v>
      </c>
    </row>
    <row r="272" spans="2:4" x14ac:dyDescent="0.2">
      <c r="B272" s="37" t="s">
        <v>54</v>
      </c>
      <c r="C272" s="38" t="s">
        <v>48</v>
      </c>
      <c r="D272" s="39">
        <f t="shared" si="4"/>
        <v>100</v>
      </c>
    </row>
    <row r="273" spans="2:4" x14ac:dyDescent="0.2">
      <c r="B273" s="37" t="s">
        <v>61</v>
      </c>
      <c r="C273" s="38" t="s">
        <v>48</v>
      </c>
      <c r="D273" s="39">
        <f t="shared" si="4"/>
        <v>25</v>
      </c>
    </row>
    <row r="274" spans="2:4" x14ac:dyDescent="0.2">
      <c r="B274" s="37" t="s">
        <v>60</v>
      </c>
      <c r="C274" s="38" t="s">
        <v>48</v>
      </c>
      <c r="D274" s="39">
        <f t="shared" si="4"/>
        <v>35</v>
      </c>
    </row>
    <row r="275" spans="2:4" x14ac:dyDescent="0.2">
      <c r="B275" s="37" t="s">
        <v>53</v>
      </c>
      <c r="C275" s="38" t="s">
        <v>48</v>
      </c>
      <c r="D275" s="39">
        <f t="shared" si="4"/>
        <v>100</v>
      </c>
    </row>
    <row r="276" spans="2:4" x14ac:dyDescent="0.2">
      <c r="B276" s="37" t="s">
        <v>52</v>
      </c>
      <c r="C276" s="38" t="s">
        <v>49</v>
      </c>
      <c r="D276" s="39">
        <f t="shared" si="4"/>
        <v>168</v>
      </c>
    </row>
    <row r="277" spans="2:4" x14ac:dyDescent="0.2">
      <c r="B277" s="37" t="s">
        <v>61</v>
      </c>
      <c r="C277" s="38" t="s">
        <v>49</v>
      </c>
      <c r="D277" s="39">
        <f t="shared" si="4"/>
        <v>30</v>
      </c>
    </row>
    <row r="278" spans="2:4" x14ac:dyDescent="0.2">
      <c r="B278" s="37" t="s">
        <v>57</v>
      </c>
      <c r="C278" s="38" t="s">
        <v>48</v>
      </c>
      <c r="D278" s="39">
        <f t="shared" si="4"/>
        <v>70</v>
      </c>
    </row>
    <row r="279" spans="2:4" x14ac:dyDescent="0.2">
      <c r="B279" s="37" t="s">
        <v>61</v>
      </c>
      <c r="C279" s="38" t="s">
        <v>49</v>
      </c>
      <c r="D279" s="39">
        <f t="shared" si="4"/>
        <v>30</v>
      </c>
    </row>
    <row r="280" spans="2:4" x14ac:dyDescent="0.2">
      <c r="B280" s="37" t="s">
        <v>63</v>
      </c>
      <c r="C280" s="38" t="s">
        <v>48</v>
      </c>
      <c r="D280" s="39">
        <f t="shared" si="4"/>
        <v>20</v>
      </c>
    </row>
    <row r="281" spans="2:4" x14ac:dyDescent="0.2">
      <c r="B281" s="37" t="s">
        <v>62</v>
      </c>
      <c r="C281" s="38" t="s">
        <v>48</v>
      </c>
      <c r="D281" s="39">
        <f t="shared" si="4"/>
        <v>20</v>
      </c>
    </row>
    <row r="282" spans="2:4" x14ac:dyDescent="0.2">
      <c r="B282" s="37" t="s">
        <v>61</v>
      </c>
      <c r="C282" s="38" t="s">
        <v>49</v>
      </c>
      <c r="D282" s="39">
        <f t="shared" si="4"/>
        <v>30</v>
      </c>
    </row>
    <row r="283" spans="2:4" x14ac:dyDescent="0.2">
      <c r="B283" s="37" t="s">
        <v>64</v>
      </c>
      <c r="C283" s="38" t="s">
        <v>49</v>
      </c>
      <c r="D283" s="39">
        <f t="shared" si="4"/>
        <v>6</v>
      </c>
    </row>
    <row r="284" spans="2:4" x14ac:dyDescent="0.2">
      <c r="B284" s="37" t="s">
        <v>54</v>
      </c>
      <c r="C284" s="38" t="s">
        <v>49</v>
      </c>
      <c r="D284" s="39">
        <f t="shared" si="4"/>
        <v>120</v>
      </c>
    </row>
    <row r="285" spans="2:4" x14ac:dyDescent="0.2">
      <c r="B285" s="37" t="s">
        <v>54</v>
      </c>
      <c r="C285" s="38" t="s">
        <v>48</v>
      </c>
      <c r="D285" s="39">
        <f t="shared" si="4"/>
        <v>100</v>
      </c>
    </row>
    <row r="286" spans="2:4" x14ac:dyDescent="0.2">
      <c r="B286" s="37" t="s">
        <v>64</v>
      </c>
      <c r="C286" s="38" t="s">
        <v>49</v>
      </c>
      <c r="D286" s="39">
        <f t="shared" si="4"/>
        <v>6</v>
      </c>
    </row>
    <row r="287" spans="2:4" x14ac:dyDescent="0.2">
      <c r="B287" s="37" t="s">
        <v>60</v>
      </c>
      <c r="C287" s="38" t="s">
        <v>49</v>
      </c>
      <c r="D287" s="39">
        <f t="shared" si="4"/>
        <v>42</v>
      </c>
    </row>
    <row r="288" spans="2:4" x14ac:dyDescent="0.2">
      <c r="B288" s="37" t="s">
        <v>60</v>
      </c>
      <c r="C288" s="38" t="s">
        <v>48</v>
      </c>
      <c r="D288" s="39">
        <f t="shared" si="4"/>
        <v>35</v>
      </c>
    </row>
    <row r="289" spans="2:4" x14ac:dyDescent="0.2">
      <c r="B289" s="37" t="s">
        <v>60</v>
      </c>
      <c r="C289" s="38" t="s">
        <v>49</v>
      </c>
      <c r="D289" s="39">
        <f t="shared" si="4"/>
        <v>42</v>
      </c>
    </row>
    <row r="290" spans="2:4" x14ac:dyDescent="0.2">
      <c r="B290" s="37" t="s">
        <v>57</v>
      </c>
      <c r="C290" s="38" t="s">
        <v>49</v>
      </c>
      <c r="D290" s="39">
        <f t="shared" si="4"/>
        <v>84</v>
      </c>
    </row>
    <row r="291" spans="2:4" x14ac:dyDescent="0.2">
      <c r="B291" s="37" t="s">
        <v>60</v>
      </c>
      <c r="C291" s="38" t="s">
        <v>49</v>
      </c>
      <c r="D291" s="39">
        <f t="shared" si="4"/>
        <v>42</v>
      </c>
    </row>
    <row r="292" spans="2:4" x14ac:dyDescent="0.2">
      <c r="B292" s="37" t="s">
        <v>57</v>
      </c>
      <c r="C292" s="38" t="s">
        <v>48</v>
      </c>
      <c r="D292" s="39">
        <f t="shared" si="4"/>
        <v>70</v>
      </c>
    </row>
    <row r="293" spans="2:4" x14ac:dyDescent="0.2">
      <c r="B293" s="37" t="s">
        <v>60</v>
      </c>
      <c r="C293" s="38" t="s">
        <v>48</v>
      </c>
      <c r="D293" s="39">
        <f t="shared" si="4"/>
        <v>35</v>
      </c>
    </row>
    <row r="294" spans="2:4" x14ac:dyDescent="0.2">
      <c r="B294" s="37" t="s">
        <v>54</v>
      </c>
      <c r="C294" s="38" t="s">
        <v>49</v>
      </c>
      <c r="D294" s="39">
        <f t="shared" si="4"/>
        <v>120</v>
      </c>
    </row>
    <row r="295" spans="2:4" x14ac:dyDescent="0.2">
      <c r="B295" s="37" t="s">
        <v>60</v>
      </c>
      <c r="C295" s="38" t="s">
        <v>48</v>
      </c>
      <c r="D295" s="39">
        <f t="shared" si="4"/>
        <v>35</v>
      </c>
    </row>
    <row r="296" spans="2:4" x14ac:dyDescent="0.2">
      <c r="B296" s="37" t="s">
        <v>60</v>
      </c>
      <c r="C296" s="38" t="s">
        <v>48</v>
      </c>
      <c r="D296" s="39">
        <f t="shared" si="4"/>
        <v>35</v>
      </c>
    </row>
    <row r="297" spans="2:4" x14ac:dyDescent="0.2">
      <c r="B297" s="37" t="s">
        <v>55</v>
      </c>
      <c r="C297" s="38" t="s">
        <v>48</v>
      </c>
      <c r="D297" s="39">
        <f t="shared" si="4"/>
        <v>100</v>
      </c>
    </row>
    <row r="298" spans="2:4" x14ac:dyDescent="0.2">
      <c r="B298" s="37" t="s">
        <v>54</v>
      </c>
      <c r="C298" s="38" t="s">
        <v>49</v>
      </c>
      <c r="D298" s="39">
        <f t="shared" si="4"/>
        <v>120</v>
      </c>
    </row>
    <row r="299" spans="2:4" x14ac:dyDescent="0.2">
      <c r="B299" s="37" t="s">
        <v>60</v>
      </c>
      <c r="C299" s="38" t="s">
        <v>48</v>
      </c>
      <c r="D299" s="39">
        <f t="shared" si="4"/>
        <v>35</v>
      </c>
    </row>
    <row r="300" spans="2:4" x14ac:dyDescent="0.2">
      <c r="B300" s="37" t="s">
        <v>60</v>
      </c>
      <c r="C300" s="38" t="s">
        <v>49</v>
      </c>
      <c r="D300" s="39">
        <f t="shared" si="4"/>
        <v>42</v>
      </c>
    </row>
    <row r="301" spans="2:4" x14ac:dyDescent="0.2">
      <c r="B301" s="37" t="s">
        <v>63</v>
      </c>
      <c r="C301" s="38" t="s">
        <v>48</v>
      </c>
      <c r="D301" s="39">
        <f t="shared" si="4"/>
        <v>20</v>
      </c>
    </row>
    <row r="302" spans="2:4" x14ac:dyDescent="0.2">
      <c r="B302" s="37" t="s">
        <v>52</v>
      </c>
      <c r="C302" s="38" t="s">
        <v>49</v>
      </c>
      <c r="D302" s="39">
        <f t="shared" si="4"/>
        <v>168</v>
      </c>
    </row>
    <row r="303" spans="2:4" x14ac:dyDescent="0.2">
      <c r="B303" s="37" t="s">
        <v>61</v>
      </c>
      <c r="C303" s="38" t="s">
        <v>48</v>
      </c>
      <c r="D303" s="39">
        <f t="shared" si="4"/>
        <v>25</v>
      </c>
    </row>
    <row r="304" spans="2:4" x14ac:dyDescent="0.2">
      <c r="B304" s="37" t="s">
        <v>52</v>
      </c>
      <c r="C304" s="38" t="s">
        <v>49</v>
      </c>
      <c r="D304" s="39">
        <f t="shared" si="4"/>
        <v>168</v>
      </c>
    </row>
    <row r="305" spans="2:4" x14ac:dyDescent="0.2">
      <c r="B305" s="37" t="s">
        <v>63</v>
      </c>
      <c r="C305" s="38" t="s">
        <v>48</v>
      </c>
      <c r="D305" s="39">
        <f t="shared" si="4"/>
        <v>20</v>
      </c>
    </row>
    <row r="306" spans="2:4" x14ac:dyDescent="0.2">
      <c r="B306" s="37" t="s">
        <v>63</v>
      </c>
      <c r="C306" s="38" t="s">
        <v>49</v>
      </c>
      <c r="D306" s="39">
        <f t="shared" si="4"/>
        <v>24</v>
      </c>
    </row>
    <row r="307" spans="2:4" x14ac:dyDescent="0.2">
      <c r="B307" s="37" t="s">
        <v>64</v>
      </c>
      <c r="C307" s="38" t="s">
        <v>48</v>
      </c>
      <c r="D307" s="39">
        <f t="shared" si="4"/>
        <v>5</v>
      </c>
    </row>
    <row r="308" spans="2:4" x14ac:dyDescent="0.2">
      <c r="B308" s="37" t="s">
        <v>63</v>
      </c>
      <c r="C308" s="38" t="s">
        <v>49</v>
      </c>
      <c r="D308" s="39">
        <f t="shared" si="4"/>
        <v>24</v>
      </c>
    </row>
    <row r="309" spans="2:4" x14ac:dyDescent="0.2">
      <c r="B309" s="37" t="s">
        <v>52</v>
      </c>
      <c r="C309" s="38" t="s">
        <v>48</v>
      </c>
      <c r="D309" s="39">
        <f t="shared" si="4"/>
        <v>140</v>
      </c>
    </row>
    <row r="310" spans="2:4" x14ac:dyDescent="0.2">
      <c r="B310" s="37" t="s">
        <v>60</v>
      </c>
      <c r="C310" s="38" t="s">
        <v>48</v>
      </c>
      <c r="D310" s="39">
        <f t="shared" si="4"/>
        <v>35</v>
      </c>
    </row>
    <row r="311" spans="2:4" x14ac:dyDescent="0.2">
      <c r="B311" s="37" t="s">
        <v>62</v>
      </c>
      <c r="C311" s="38" t="s">
        <v>49</v>
      </c>
      <c r="D311" s="39">
        <f t="shared" si="4"/>
        <v>24</v>
      </c>
    </row>
    <row r="312" spans="2:4" x14ac:dyDescent="0.2">
      <c r="B312" s="37" t="s">
        <v>63</v>
      </c>
      <c r="C312" s="38" t="s">
        <v>49</v>
      </c>
      <c r="D312" s="39">
        <f t="shared" si="4"/>
        <v>24</v>
      </c>
    </row>
    <row r="313" spans="2:4" x14ac:dyDescent="0.2">
      <c r="B313" s="37" t="s">
        <v>59</v>
      </c>
      <c r="C313" s="38" t="s">
        <v>48</v>
      </c>
      <c r="D313" s="39">
        <f t="shared" si="4"/>
        <v>50</v>
      </c>
    </row>
    <row r="314" spans="2:4" x14ac:dyDescent="0.2">
      <c r="B314" s="37" t="s">
        <v>53</v>
      </c>
      <c r="C314" s="38" t="s">
        <v>48</v>
      </c>
      <c r="D314" s="39">
        <f t="shared" si="4"/>
        <v>100</v>
      </c>
    </row>
    <row r="315" spans="2:4" x14ac:dyDescent="0.2">
      <c r="B315" s="37" t="s">
        <v>63</v>
      </c>
      <c r="C315" s="38" t="s">
        <v>49</v>
      </c>
      <c r="D315" s="39">
        <f t="shared" si="4"/>
        <v>24</v>
      </c>
    </row>
    <row r="316" spans="2:4" x14ac:dyDescent="0.2">
      <c r="B316" s="37" t="s">
        <v>54</v>
      </c>
      <c r="C316" s="38" t="s">
        <v>49</v>
      </c>
      <c r="D316" s="39">
        <f t="shared" si="4"/>
        <v>120</v>
      </c>
    </row>
    <row r="317" spans="2:4" x14ac:dyDescent="0.2">
      <c r="B317" s="37" t="s">
        <v>60</v>
      </c>
      <c r="C317" s="38" t="s">
        <v>48</v>
      </c>
      <c r="D317" s="39">
        <f t="shared" si="4"/>
        <v>35</v>
      </c>
    </row>
    <row r="318" spans="2:4" x14ac:dyDescent="0.2">
      <c r="B318" s="37" t="s">
        <v>64</v>
      </c>
      <c r="C318" s="38" t="s">
        <v>49</v>
      </c>
      <c r="D318" s="39">
        <f t="shared" si="4"/>
        <v>6</v>
      </c>
    </row>
    <row r="319" spans="2:4" x14ac:dyDescent="0.2">
      <c r="B319" s="37" t="s">
        <v>63</v>
      </c>
      <c r="C319" s="38" t="s">
        <v>48</v>
      </c>
      <c r="D319" s="39">
        <f t="shared" si="4"/>
        <v>20</v>
      </c>
    </row>
    <row r="320" spans="2:4" x14ac:dyDescent="0.2">
      <c r="B320" s="37" t="s">
        <v>54</v>
      </c>
      <c r="C320" s="38" t="s">
        <v>48</v>
      </c>
      <c r="D320" s="39">
        <f t="shared" si="4"/>
        <v>100</v>
      </c>
    </row>
    <row r="321" spans="2:4" x14ac:dyDescent="0.2">
      <c r="B321" s="37" t="s">
        <v>62</v>
      </c>
      <c r="C321" s="38" t="s">
        <v>49</v>
      </c>
      <c r="D321" s="39">
        <f t="shared" si="4"/>
        <v>24</v>
      </c>
    </row>
    <row r="322" spans="2:4" x14ac:dyDescent="0.2">
      <c r="B322" s="37" t="s">
        <v>58</v>
      </c>
      <c r="C322" s="38" t="s">
        <v>48</v>
      </c>
      <c r="D322" s="39">
        <f t="shared" si="4"/>
        <v>60</v>
      </c>
    </row>
    <row r="323" spans="2:4" x14ac:dyDescent="0.2">
      <c r="B323" s="37" t="s">
        <v>64</v>
      </c>
      <c r="C323" s="38" t="s">
        <v>48</v>
      </c>
      <c r="D323" s="39">
        <f t="shared" si="4"/>
        <v>5</v>
      </c>
    </row>
    <row r="324" spans="2:4" x14ac:dyDescent="0.2">
      <c r="B324" s="37" t="s">
        <v>60</v>
      </c>
      <c r="C324" s="38" t="s">
        <v>49</v>
      </c>
      <c r="D324" s="39">
        <f t="shared" si="4"/>
        <v>42</v>
      </c>
    </row>
    <row r="325" spans="2:4" x14ac:dyDescent="0.2">
      <c r="B325" s="37" t="s">
        <v>62</v>
      </c>
      <c r="C325" s="38" t="s">
        <v>49</v>
      </c>
      <c r="D325" s="39">
        <f t="shared" si="4"/>
        <v>24</v>
      </c>
    </row>
    <row r="326" spans="2:4" x14ac:dyDescent="0.2">
      <c r="B326" s="37" t="s">
        <v>57</v>
      </c>
      <c r="C326" s="38" t="s">
        <v>49</v>
      </c>
      <c r="D326" s="39">
        <f t="shared" si="4"/>
        <v>84</v>
      </c>
    </row>
    <row r="327" spans="2:4" x14ac:dyDescent="0.2">
      <c r="B327" s="37" t="s">
        <v>57</v>
      </c>
      <c r="C327" s="38" t="s">
        <v>49</v>
      </c>
      <c r="D327" s="39">
        <f t="shared" si="4"/>
        <v>84</v>
      </c>
    </row>
    <row r="328" spans="2:4" x14ac:dyDescent="0.2">
      <c r="B328" s="37" t="s">
        <v>62</v>
      </c>
      <c r="C328" s="38" t="s">
        <v>48</v>
      </c>
      <c r="D328" s="39">
        <f t="shared" ref="D328:D391" si="5">WarrantyPrice(B328,C328)</f>
        <v>20</v>
      </c>
    </row>
    <row r="329" spans="2:4" x14ac:dyDescent="0.2">
      <c r="B329" s="37" t="s">
        <v>60</v>
      </c>
      <c r="C329" s="38" t="s">
        <v>48</v>
      </c>
      <c r="D329" s="39">
        <f t="shared" si="5"/>
        <v>35</v>
      </c>
    </row>
    <row r="330" spans="2:4" x14ac:dyDescent="0.2">
      <c r="B330" s="37" t="s">
        <v>54</v>
      </c>
      <c r="C330" s="38" t="s">
        <v>49</v>
      </c>
      <c r="D330" s="39">
        <f t="shared" si="5"/>
        <v>120</v>
      </c>
    </row>
    <row r="331" spans="2:4" x14ac:dyDescent="0.2">
      <c r="B331" s="37" t="s">
        <v>62</v>
      </c>
      <c r="C331" s="38" t="s">
        <v>48</v>
      </c>
      <c r="D331" s="39">
        <f t="shared" si="5"/>
        <v>20</v>
      </c>
    </row>
    <row r="332" spans="2:4" x14ac:dyDescent="0.2">
      <c r="B332" s="37" t="s">
        <v>62</v>
      </c>
      <c r="C332" s="38" t="s">
        <v>48</v>
      </c>
      <c r="D332" s="39">
        <f t="shared" si="5"/>
        <v>20</v>
      </c>
    </row>
    <row r="333" spans="2:4" x14ac:dyDescent="0.2">
      <c r="B333" s="37" t="s">
        <v>60</v>
      </c>
      <c r="C333" s="38" t="s">
        <v>48</v>
      </c>
      <c r="D333" s="39">
        <f t="shared" si="5"/>
        <v>35</v>
      </c>
    </row>
    <row r="334" spans="2:4" x14ac:dyDescent="0.2">
      <c r="B334" s="37" t="s">
        <v>63</v>
      </c>
      <c r="C334" s="38" t="s">
        <v>49</v>
      </c>
      <c r="D334" s="39">
        <f t="shared" si="5"/>
        <v>24</v>
      </c>
    </row>
    <row r="335" spans="2:4" x14ac:dyDescent="0.2">
      <c r="B335" s="37" t="s">
        <v>60</v>
      </c>
      <c r="C335" s="38" t="s">
        <v>48</v>
      </c>
      <c r="D335" s="39">
        <f t="shared" si="5"/>
        <v>35</v>
      </c>
    </row>
    <row r="336" spans="2:4" x14ac:dyDescent="0.2">
      <c r="B336" s="37" t="s">
        <v>52</v>
      </c>
      <c r="C336" s="38" t="s">
        <v>49</v>
      </c>
      <c r="D336" s="39">
        <f t="shared" si="5"/>
        <v>168</v>
      </c>
    </row>
    <row r="337" spans="2:4" x14ac:dyDescent="0.2">
      <c r="B337" s="37" t="s">
        <v>54</v>
      </c>
      <c r="C337" s="38" t="s">
        <v>48</v>
      </c>
      <c r="D337" s="39">
        <f t="shared" si="5"/>
        <v>100</v>
      </c>
    </row>
    <row r="338" spans="2:4" x14ac:dyDescent="0.2">
      <c r="B338" s="37" t="s">
        <v>63</v>
      </c>
      <c r="C338" s="38" t="s">
        <v>49</v>
      </c>
      <c r="D338" s="39">
        <f t="shared" si="5"/>
        <v>24</v>
      </c>
    </row>
    <row r="339" spans="2:4" x14ac:dyDescent="0.2">
      <c r="B339" s="37" t="s">
        <v>52</v>
      </c>
      <c r="C339" s="38" t="s">
        <v>49</v>
      </c>
      <c r="D339" s="39">
        <f t="shared" si="5"/>
        <v>168</v>
      </c>
    </row>
    <row r="340" spans="2:4" x14ac:dyDescent="0.2">
      <c r="B340" s="37" t="s">
        <v>52</v>
      </c>
      <c r="C340" s="38" t="s">
        <v>49</v>
      </c>
      <c r="D340" s="39">
        <f t="shared" si="5"/>
        <v>168</v>
      </c>
    </row>
    <row r="341" spans="2:4" x14ac:dyDescent="0.2">
      <c r="B341" s="37" t="s">
        <v>62</v>
      </c>
      <c r="C341" s="38" t="s">
        <v>49</v>
      </c>
      <c r="D341" s="39">
        <f t="shared" si="5"/>
        <v>24</v>
      </c>
    </row>
    <row r="342" spans="2:4" x14ac:dyDescent="0.2">
      <c r="B342" s="37" t="s">
        <v>60</v>
      </c>
      <c r="C342" s="38" t="s">
        <v>49</v>
      </c>
      <c r="D342" s="39">
        <f t="shared" si="5"/>
        <v>42</v>
      </c>
    </row>
    <row r="343" spans="2:4" x14ac:dyDescent="0.2">
      <c r="B343" s="37" t="s">
        <v>57</v>
      </c>
      <c r="C343" s="38" t="s">
        <v>48</v>
      </c>
      <c r="D343" s="39">
        <f t="shared" si="5"/>
        <v>70</v>
      </c>
    </row>
    <row r="344" spans="2:4" x14ac:dyDescent="0.2">
      <c r="B344" s="37" t="s">
        <v>61</v>
      </c>
      <c r="C344" s="38" t="s">
        <v>48</v>
      </c>
      <c r="D344" s="39">
        <f t="shared" si="5"/>
        <v>25</v>
      </c>
    </row>
    <row r="345" spans="2:4" x14ac:dyDescent="0.2">
      <c r="B345" s="37" t="s">
        <v>51</v>
      </c>
      <c r="C345" s="38" t="s">
        <v>49</v>
      </c>
      <c r="D345" s="39">
        <f t="shared" si="5"/>
        <v>240</v>
      </c>
    </row>
    <row r="346" spans="2:4" x14ac:dyDescent="0.2">
      <c r="B346" s="37" t="s">
        <v>63</v>
      </c>
      <c r="C346" s="38" t="s">
        <v>48</v>
      </c>
      <c r="D346" s="39">
        <f t="shared" si="5"/>
        <v>20</v>
      </c>
    </row>
    <row r="347" spans="2:4" x14ac:dyDescent="0.2">
      <c r="B347" s="37" t="s">
        <v>63</v>
      </c>
      <c r="C347" s="38" t="s">
        <v>49</v>
      </c>
      <c r="D347" s="39">
        <f t="shared" si="5"/>
        <v>24</v>
      </c>
    </row>
    <row r="348" spans="2:4" x14ac:dyDescent="0.2">
      <c r="B348" s="37" t="s">
        <v>54</v>
      </c>
      <c r="C348" s="38" t="s">
        <v>49</v>
      </c>
      <c r="D348" s="39">
        <f t="shared" si="5"/>
        <v>120</v>
      </c>
    </row>
    <row r="349" spans="2:4" x14ac:dyDescent="0.2">
      <c r="B349" s="37" t="s">
        <v>63</v>
      </c>
      <c r="C349" s="38" t="s">
        <v>49</v>
      </c>
      <c r="D349" s="39">
        <f t="shared" si="5"/>
        <v>24</v>
      </c>
    </row>
    <row r="350" spans="2:4" x14ac:dyDescent="0.2">
      <c r="B350" s="37" t="s">
        <v>62</v>
      </c>
      <c r="C350" s="38" t="s">
        <v>49</v>
      </c>
      <c r="D350" s="39">
        <f t="shared" si="5"/>
        <v>24</v>
      </c>
    </row>
    <row r="351" spans="2:4" x14ac:dyDescent="0.2">
      <c r="B351" s="37" t="s">
        <v>63</v>
      </c>
      <c r="C351" s="38" t="s">
        <v>48</v>
      </c>
      <c r="D351" s="39">
        <f t="shared" si="5"/>
        <v>20</v>
      </c>
    </row>
    <row r="352" spans="2:4" x14ac:dyDescent="0.2">
      <c r="B352" s="37" t="s">
        <v>60</v>
      </c>
      <c r="C352" s="38" t="s">
        <v>48</v>
      </c>
      <c r="D352" s="39">
        <f t="shared" si="5"/>
        <v>35</v>
      </c>
    </row>
    <row r="353" spans="2:4" x14ac:dyDescent="0.2">
      <c r="B353" s="37" t="s">
        <v>60</v>
      </c>
      <c r="C353" s="38" t="s">
        <v>49</v>
      </c>
      <c r="D353" s="39">
        <f t="shared" si="5"/>
        <v>42</v>
      </c>
    </row>
    <row r="354" spans="2:4" x14ac:dyDescent="0.2">
      <c r="B354" s="37" t="s">
        <v>57</v>
      </c>
      <c r="C354" s="38" t="s">
        <v>49</v>
      </c>
      <c r="D354" s="39">
        <f t="shared" si="5"/>
        <v>84</v>
      </c>
    </row>
    <row r="355" spans="2:4" x14ac:dyDescent="0.2">
      <c r="B355" s="37" t="s">
        <v>63</v>
      </c>
      <c r="C355" s="38" t="s">
        <v>49</v>
      </c>
      <c r="D355" s="39">
        <f t="shared" si="5"/>
        <v>24</v>
      </c>
    </row>
    <row r="356" spans="2:4" x14ac:dyDescent="0.2">
      <c r="B356" s="37" t="s">
        <v>64</v>
      </c>
      <c r="C356" s="38" t="s">
        <v>49</v>
      </c>
      <c r="D356" s="39">
        <f t="shared" si="5"/>
        <v>6</v>
      </c>
    </row>
    <row r="357" spans="2:4" x14ac:dyDescent="0.2">
      <c r="B357" s="37" t="s">
        <v>57</v>
      </c>
      <c r="C357" s="38" t="s">
        <v>49</v>
      </c>
      <c r="D357" s="39">
        <f t="shared" si="5"/>
        <v>84</v>
      </c>
    </row>
    <row r="358" spans="2:4" x14ac:dyDescent="0.2">
      <c r="B358" s="37" t="s">
        <v>60</v>
      </c>
      <c r="C358" s="38" t="s">
        <v>49</v>
      </c>
      <c r="D358" s="39">
        <f t="shared" si="5"/>
        <v>42</v>
      </c>
    </row>
    <row r="359" spans="2:4" x14ac:dyDescent="0.2">
      <c r="B359" s="37" t="s">
        <v>60</v>
      </c>
      <c r="C359" s="38" t="s">
        <v>48</v>
      </c>
      <c r="D359" s="39">
        <f t="shared" si="5"/>
        <v>35</v>
      </c>
    </row>
    <row r="360" spans="2:4" x14ac:dyDescent="0.2">
      <c r="B360" s="37" t="s">
        <v>62</v>
      </c>
      <c r="C360" s="38" t="s">
        <v>49</v>
      </c>
      <c r="D360" s="39">
        <f t="shared" si="5"/>
        <v>24</v>
      </c>
    </row>
    <row r="361" spans="2:4" x14ac:dyDescent="0.2">
      <c r="B361" s="37" t="s">
        <v>60</v>
      </c>
      <c r="C361" s="38" t="s">
        <v>49</v>
      </c>
      <c r="D361" s="39">
        <f t="shared" si="5"/>
        <v>42</v>
      </c>
    </row>
    <row r="362" spans="2:4" x14ac:dyDescent="0.2">
      <c r="B362" s="37" t="s">
        <v>56</v>
      </c>
      <c r="C362" s="38" t="s">
        <v>48</v>
      </c>
      <c r="D362" s="39">
        <f t="shared" si="5"/>
        <v>80</v>
      </c>
    </row>
    <row r="363" spans="2:4" x14ac:dyDescent="0.2">
      <c r="B363" s="37" t="s">
        <v>63</v>
      </c>
      <c r="C363" s="38" t="s">
        <v>48</v>
      </c>
      <c r="D363" s="39">
        <f t="shared" si="5"/>
        <v>20</v>
      </c>
    </row>
    <row r="364" spans="2:4" x14ac:dyDescent="0.2">
      <c r="B364" s="37" t="s">
        <v>63</v>
      </c>
      <c r="C364" s="38" t="s">
        <v>48</v>
      </c>
      <c r="D364" s="39">
        <f t="shared" si="5"/>
        <v>20</v>
      </c>
    </row>
    <row r="365" spans="2:4" x14ac:dyDescent="0.2">
      <c r="B365" s="37" t="s">
        <v>63</v>
      </c>
      <c r="C365" s="38" t="s">
        <v>48</v>
      </c>
      <c r="D365" s="39">
        <f t="shared" si="5"/>
        <v>20</v>
      </c>
    </row>
    <row r="366" spans="2:4" x14ac:dyDescent="0.2">
      <c r="B366" s="37" t="s">
        <v>63</v>
      </c>
      <c r="C366" s="38" t="s">
        <v>48</v>
      </c>
      <c r="D366" s="39">
        <f t="shared" si="5"/>
        <v>20</v>
      </c>
    </row>
    <row r="367" spans="2:4" x14ac:dyDescent="0.2">
      <c r="B367" s="37" t="s">
        <v>52</v>
      </c>
      <c r="C367" s="38" t="s">
        <v>49</v>
      </c>
      <c r="D367" s="39">
        <f t="shared" si="5"/>
        <v>168</v>
      </c>
    </row>
    <row r="368" spans="2:4" x14ac:dyDescent="0.2">
      <c r="B368" s="37" t="s">
        <v>63</v>
      </c>
      <c r="C368" s="38" t="s">
        <v>48</v>
      </c>
      <c r="D368" s="39">
        <f t="shared" si="5"/>
        <v>20</v>
      </c>
    </row>
    <row r="369" spans="2:4" x14ac:dyDescent="0.2">
      <c r="B369" s="37" t="s">
        <v>63</v>
      </c>
      <c r="C369" s="38" t="s">
        <v>48</v>
      </c>
      <c r="D369" s="39">
        <f t="shared" si="5"/>
        <v>20</v>
      </c>
    </row>
    <row r="370" spans="2:4" x14ac:dyDescent="0.2">
      <c r="B370" s="37" t="s">
        <v>63</v>
      </c>
      <c r="C370" s="38" t="s">
        <v>49</v>
      </c>
      <c r="D370" s="39">
        <f t="shared" si="5"/>
        <v>24</v>
      </c>
    </row>
    <row r="371" spans="2:4" x14ac:dyDescent="0.2">
      <c r="B371" s="37" t="s">
        <v>63</v>
      </c>
      <c r="C371" s="38" t="s">
        <v>49</v>
      </c>
      <c r="D371" s="39">
        <f t="shared" si="5"/>
        <v>24</v>
      </c>
    </row>
    <row r="372" spans="2:4" x14ac:dyDescent="0.2">
      <c r="B372" s="37" t="s">
        <v>54</v>
      </c>
      <c r="C372" s="38" t="s">
        <v>49</v>
      </c>
      <c r="D372" s="39">
        <f t="shared" si="5"/>
        <v>120</v>
      </c>
    </row>
    <row r="373" spans="2:4" x14ac:dyDescent="0.2">
      <c r="B373" s="37" t="s">
        <v>57</v>
      </c>
      <c r="C373" s="38" t="s">
        <v>49</v>
      </c>
      <c r="D373" s="39">
        <f t="shared" si="5"/>
        <v>84</v>
      </c>
    </row>
    <row r="374" spans="2:4" x14ac:dyDescent="0.2">
      <c r="B374" s="37" t="s">
        <v>60</v>
      </c>
      <c r="C374" s="38" t="s">
        <v>48</v>
      </c>
      <c r="D374" s="39">
        <f t="shared" si="5"/>
        <v>35</v>
      </c>
    </row>
    <row r="375" spans="2:4" x14ac:dyDescent="0.2">
      <c r="B375" s="37" t="s">
        <v>54</v>
      </c>
      <c r="C375" s="38" t="s">
        <v>48</v>
      </c>
      <c r="D375" s="39">
        <f t="shared" si="5"/>
        <v>100</v>
      </c>
    </row>
    <row r="376" spans="2:4" x14ac:dyDescent="0.2">
      <c r="B376" s="37" t="s">
        <v>60</v>
      </c>
      <c r="C376" s="38" t="s">
        <v>48</v>
      </c>
      <c r="D376" s="39">
        <f t="shared" si="5"/>
        <v>35</v>
      </c>
    </row>
    <row r="377" spans="2:4" x14ac:dyDescent="0.2">
      <c r="B377" s="37" t="s">
        <v>62</v>
      </c>
      <c r="C377" s="38" t="s">
        <v>49</v>
      </c>
      <c r="D377" s="39">
        <f t="shared" si="5"/>
        <v>24</v>
      </c>
    </row>
    <row r="378" spans="2:4" x14ac:dyDescent="0.2">
      <c r="B378" s="37" t="s">
        <v>56</v>
      </c>
      <c r="C378" s="38" t="s">
        <v>48</v>
      </c>
      <c r="D378" s="39">
        <f t="shared" si="5"/>
        <v>80</v>
      </c>
    </row>
    <row r="379" spans="2:4" x14ac:dyDescent="0.2">
      <c r="B379" s="37" t="s">
        <v>60</v>
      </c>
      <c r="C379" s="38" t="s">
        <v>48</v>
      </c>
      <c r="D379" s="39">
        <f t="shared" si="5"/>
        <v>35</v>
      </c>
    </row>
    <row r="380" spans="2:4" x14ac:dyDescent="0.2">
      <c r="B380" s="37" t="s">
        <v>54</v>
      </c>
      <c r="C380" s="38" t="s">
        <v>48</v>
      </c>
      <c r="D380" s="39">
        <f t="shared" si="5"/>
        <v>100</v>
      </c>
    </row>
    <row r="381" spans="2:4" x14ac:dyDescent="0.2">
      <c r="B381" s="37" t="s">
        <v>52</v>
      </c>
      <c r="C381" s="38" t="s">
        <v>48</v>
      </c>
      <c r="D381" s="39">
        <f t="shared" si="5"/>
        <v>140</v>
      </c>
    </row>
    <row r="382" spans="2:4" x14ac:dyDescent="0.2">
      <c r="B382" s="37" t="s">
        <v>54</v>
      </c>
      <c r="C382" s="38" t="s">
        <v>49</v>
      </c>
      <c r="D382" s="39">
        <f t="shared" si="5"/>
        <v>120</v>
      </c>
    </row>
    <row r="383" spans="2:4" x14ac:dyDescent="0.2">
      <c r="B383" s="37" t="s">
        <v>63</v>
      </c>
      <c r="C383" s="38" t="s">
        <v>48</v>
      </c>
      <c r="D383" s="39">
        <f t="shared" si="5"/>
        <v>20</v>
      </c>
    </row>
    <row r="384" spans="2:4" x14ac:dyDescent="0.2">
      <c r="B384" s="37" t="s">
        <v>61</v>
      </c>
      <c r="C384" s="38" t="s">
        <v>49</v>
      </c>
      <c r="D384" s="39">
        <f t="shared" si="5"/>
        <v>30</v>
      </c>
    </row>
    <row r="385" spans="2:4" x14ac:dyDescent="0.2">
      <c r="B385" s="37" t="s">
        <v>62</v>
      </c>
      <c r="C385" s="38" t="s">
        <v>48</v>
      </c>
      <c r="D385" s="39">
        <f t="shared" si="5"/>
        <v>20</v>
      </c>
    </row>
    <row r="386" spans="2:4" x14ac:dyDescent="0.2">
      <c r="B386" s="37" t="s">
        <v>63</v>
      </c>
      <c r="C386" s="38" t="s">
        <v>49</v>
      </c>
      <c r="D386" s="39">
        <f t="shared" si="5"/>
        <v>24</v>
      </c>
    </row>
    <row r="387" spans="2:4" x14ac:dyDescent="0.2">
      <c r="B387" s="37" t="s">
        <v>63</v>
      </c>
      <c r="C387" s="38" t="s">
        <v>49</v>
      </c>
      <c r="D387" s="39">
        <f t="shared" si="5"/>
        <v>24</v>
      </c>
    </row>
    <row r="388" spans="2:4" x14ac:dyDescent="0.2">
      <c r="B388" s="37" t="s">
        <v>61</v>
      </c>
      <c r="C388" s="38" t="s">
        <v>49</v>
      </c>
      <c r="D388" s="39">
        <f t="shared" si="5"/>
        <v>30</v>
      </c>
    </row>
    <row r="389" spans="2:4" x14ac:dyDescent="0.2">
      <c r="B389" s="37" t="s">
        <v>63</v>
      </c>
      <c r="C389" s="38" t="s">
        <v>49</v>
      </c>
      <c r="D389" s="39">
        <f t="shared" si="5"/>
        <v>24</v>
      </c>
    </row>
    <row r="390" spans="2:4" x14ac:dyDescent="0.2">
      <c r="B390" s="37" t="s">
        <v>64</v>
      </c>
      <c r="C390" s="38" t="s">
        <v>48</v>
      </c>
      <c r="D390" s="39">
        <f t="shared" si="5"/>
        <v>5</v>
      </c>
    </row>
    <row r="391" spans="2:4" x14ac:dyDescent="0.2">
      <c r="B391" s="37" t="s">
        <v>59</v>
      </c>
      <c r="C391" s="38" t="s">
        <v>48</v>
      </c>
      <c r="D391" s="39">
        <f t="shared" si="5"/>
        <v>50</v>
      </c>
    </row>
    <row r="392" spans="2:4" x14ac:dyDescent="0.2">
      <c r="B392" s="37" t="s">
        <v>57</v>
      </c>
      <c r="C392" s="38" t="s">
        <v>49</v>
      </c>
      <c r="D392" s="39">
        <f t="shared" ref="D392:D455" si="6">WarrantyPrice(B392,C392)</f>
        <v>84</v>
      </c>
    </row>
    <row r="393" spans="2:4" x14ac:dyDescent="0.2">
      <c r="B393" s="37" t="s">
        <v>54</v>
      </c>
      <c r="C393" s="38" t="s">
        <v>49</v>
      </c>
      <c r="D393" s="39">
        <f t="shared" si="6"/>
        <v>120</v>
      </c>
    </row>
    <row r="394" spans="2:4" x14ac:dyDescent="0.2">
      <c r="B394" s="37" t="s">
        <v>62</v>
      </c>
      <c r="C394" s="38" t="s">
        <v>49</v>
      </c>
      <c r="D394" s="39">
        <f t="shared" si="6"/>
        <v>24</v>
      </c>
    </row>
    <row r="395" spans="2:4" x14ac:dyDescent="0.2">
      <c r="B395" s="37" t="s">
        <v>56</v>
      </c>
      <c r="C395" s="38" t="s">
        <v>49</v>
      </c>
      <c r="D395" s="39">
        <f t="shared" si="6"/>
        <v>96</v>
      </c>
    </row>
    <row r="396" spans="2:4" x14ac:dyDescent="0.2">
      <c r="B396" s="37" t="s">
        <v>61</v>
      </c>
      <c r="C396" s="38" t="s">
        <v>49</v>
      </c>
      <c r="D396" s="39">
        <f t="shared" si="6"/>
        <v>30</v>
      </c>
    </row>
    <row r="397" spans="2:4" x14ac:dyDescent="0.2">
      <c r="B397" s="37" t="s">
        <v>60</v>
      </c>
      <c r="C397" s="38" t="s">
        <v>49</v>
      </c>
      <c r="D397" s="39">
        <f t="shared" si="6"/>
        <v>42</v>
      </c>
    </row>
    <row r="398" spans="2:4" x14ac:dyDescent="0.2">
      <c r="B398" s="37" t="s">
        <v>52</v>
      </c>
      <c r="C398" s="38" t="s">
        <v>48</v>
      </c>
      <c r="D398" s="39">
        <f t="shared" si="6"/>
        <v>140</v>
      </c>
    </row>
    <row r="399" spans="2:4" x14ac:dyDescent="0.2">
      <c r="B399" s="37" t="s">
        <v>52</v>
      </c>
      <c r="C399" s="38" t="s">
        <v>48</v>
      </c>
      <c r="D399" s="39">
        <f t="shared" si="6"/>
        <v>140</v>
      </c>
    </row>
    <row r="400" spans="2:4" x14ac:dyDescent="0.2">
      <c r="B400" s="37" t="s">
        <v>54</v>
      </c>
      <c r="C400" s="38" t="s">
        <v>49</v>
      </c>
      <c r="D400" s="39">
        <f t="shared" si="6"/>
        <v>120</v>
      </c>
    </row>
    <row r="401" spans="2:4" x14ac:dyDescent="0.2">
      <c r="B401" s="37" t="s">
        <v>56</v>
      </c>
      <c r="C401" s="38" t="s">
        <v>48</v>
      </c>
      <c r="D401" s="39">
        <f t="shared" si="6"/>
        <v>80</v>
      </c>
    </row>
    <row r="402" spans="2:4" x14ac:dyDescent="0.2">
      <c r="B402" s="37" t="s">
        <v>57</v>
      </c>
      <c r="C402" s="38" t="s">
        <v>49</v>
      </c>
      <c r="D402" s="39">
        <f t="shared" si="6"/>
        <v>84</v>
      </c>
    </row>
    <row r="403" spans="2:4" x14ac:dyDescent="0.2">
      <c r="B403" s="37" t="s">
        <v>60</v>
      </c>
      <c r="C403" s="38" t="s">
        <v>49</v>
      </c>
      <c r="D403" s="39">
        <f t="shared" si="6"/>
        <v>42</v>
      </c>
    </row>
    <row r="404" spans="2:4" x14ac:dyDescent="0.2">
      <c r="B404" s="37" t="s">
        <v>56</v>
      </c>
      <c r="C404" s="38" t="s">
        <v>49</v>
      </c>
      <c r="D404" s="39">
        <f t="shared" si="6"/>
        <v>96</v>
      </c>
    </row>
    <row r="405" spans="2:4" x14ac:dyDescent="0.2">
      <c r="B405" s="37" t="s">
        <v>54</v>
      </c>
      <c r="C405" s="38" t="s">
        <v>49</v>
      </c>
      <c r="D405" s="39">
        <f t="shared" si="6"/>
        <v>120</v>
      </c>
    </row>
    <row r="406" spans="2:4" x14ac:dyDescent="0.2">
      <c r="B406" s="37" t="s">
        <v>62</v>
      </c>
      <c r="C406" s="38" t="s">
        <v>48</v>
      </c>
      <c r="D406" s="39">
        <f t="shared" si="6"/>
        <v>20</v>
      </c>
    </row>
    <row r="407" spans="2:4" x14ac:dyDescent="0.2">
      <c r="B407" s="37" t="s">
        <v>56</v>
      </c>
      <c r="C407" s="38" t="s">
        <v>49</v>
      </c>
      <c r="D407" s="39">
        <f t="shared" si="6"/>
        <v>96</v>
      </c>
    </row>
    <row r="408" spans="2:4" x14ac:dyDescent="0.2">
      <c r="B408" s="37" t="s">
        <v>54</v>
      </c>
      <c r="C408" s="38" t="s">
        <v>49</v>
      </c>
      <c r="D408" s="39">
        <f t="shared" si="6"/>
        <v>120</v>
      </c>
    </row>
    <row r="409" spans="2:4" x14ac:dyDescent="0.2">
      <c r="B409" s="37" t="s">
        <v>63</v>
      </c>
      <c r="C409" s="38" t="s">
        <v>49</v>
      </c>
      <c r="D409" s="39">
        <f t="shared" si="6"/>
        <v>24</v>
      </c>
    </row>
    <row r="410" spans="2:4" x14ac:dyDescent="0.2">
      <c r="B410" s="37" t="s">
        <v>57</v>
      </c>
      <c r="C410" s="38" t="s">
        <v>49</v>
      </c>
      <c r="D410" s="39">
        <f t="shared" si="6"/>
        <v>84</v>
      </c>
    </row>
    <row r="411" spans="2:4" x14ac:dyDescent="0.2">
      <c r="B411" s="37" t="s">
        <v>55</v>
      </c>
      <c r="C411" s="38" t="s">
        <v>48</v>
      </c>
      <c r="D411" s="39">
        <f t="shared" si="6"/>
        <v>100</v>
      </c>
    </row>
    <row r="412" spans="2:4" x14ac:dyDescent="0.2">
      <c r="B412" s="37" t="s">
        <v>63</v>
      </c>
      <c r="C412" s="38" t="s">
        <v>48</v>
      </c>
      <c r="D412" s="39">
        <f t="shared" si="6"/>
        <v>20</v>
      </c>
    </row>
    <row r="413" spans="2:4" x14ac:dyDescent="0.2">
      <c r="B413" s="37" t="s">
        <v>57</v>
      </c>
      <c r="C413" s="38" t="s">
        <v>48</v>
      </c>
      <c r="D413" s="39">
        <f t="shared" si="6"/>
        <v>70</v>
      </c>
    </row>
    <row r="414" spans="2:4" x14ac:dyDescent="0.2">
      <c r="B414" s="37" t="s">
        <v>63</v>
      </c>
      <c r="C414" s="38" t="s">
        <v>48</v>
      </c>
      <c r="D414" s="39">
        <f t="shared" si="6"/>
        <v>20</v>
      </c>
    </row>
    <row r="415" spans="2:4" x14ac:dyDescent="0.2">
      <c r="B415" s="37" t="s">
        <v>63</v>
      </c>
      <c r="C415" s="38" t="s">
        <v>48</v>
      </c>
      <c r="D415" s="39">
        <f t="shared" si="6"/>
        <v>20</v>
      </c>
    </row>
    <row r="416" spans="2:4" x14ac:dyDescent="0.2">
      <c r="B416" s="37" t="s">
        <v>60</v>
      </c>
      <c r="C416" s="38" t="s">
        <v>48</v>
      </c>
      <c r="D416" s="39">
        <f t="shared" si="6"/>
        <v>35</v>
      </c>
    </row>
    <row r="417" spans="2:4" x14ac:dyDescent="0.2">
      <c r="B417" s="37" t="s">
        <v>56</v>
      </c>
      <c r="C417" s="38" t="s">
        <v>49</v>
      </c>
      <c r="D417" s="39">
        <f t="shared" si="6"/>
        <v>96</v>
      </c>
    </row>
    <row r="418" spans="2:4" x14ac:dyDescent="0.2">
      <c r="B418" s="37" t="s">
        <v>63</v>
      </c>
      <c r="C418" s="38" t="s">
        <v>48</v>
      </c>
      <c r="D418" s="39">
        <f t="shared" si="6"/>
        <v>20</v>
      </c>
    </row>
    <row r="419" spans="2:4" x14ac:dyDescent="0.2">
      <c r="B419" s="37" t="s">
        <v>60</v>
      </c>
      <c r="C419" s="38" t="s">
        <v>48</v>
      </c>
      <c r="D419" s="39">
        <f t="shared" si="6"/>
        <v>35</v>
      </c>
    </row>
    <row r="420" spans="2:4" x14ac:dyDescent="0.2">
      <c r="B420" s="37" t="s">
        <v>59</v>
      </c>
      <c r="C420" s="38" t="s">
        <v>48</v>
      </c>
      <c r="D420" s="39">
        <f t="shared" si="6"/>
        <v>50</v>
      </c>
    </row>
    <row r="421" spans="2:4" x14ac:dyDescent="0.2">
      <c r="B421" s="37" t="s">
        <v>63</v>
      </c>
      <c r="C421" s="38" t="s">
        <v>48</v>
      </c>
      <c r="D421" s="39">
        <f t="shared" si="6"/>
        <v>20</v>
      </c>
    </row>
    <row r="422" spans="2:4" x14ac:dyDescent="0.2">
      <c r="B422" s="37" t="s">
        <v>63</v>
      </c>
      <c r="C422" s="38" t="s">
        <v>49</v>
      </c>
      <c r="D422" s="39">
        <f t="shared" si="6"/>
        <v>24</v>
      </c>
    </row>
    <row r="423" spans="2:4" x14ac:dyDescent="0.2">
      <c r="B423" s="37" t="s">
        <v>63</v>
      </c>
      <c r="C423" s="38" t="s">
        <v>49</v>
      </c>
      <c r="D423" s="39">
        <f t="shared" si="6"/>
        <v>24</v>
      </c>
    </row>
    <row r="424" spans="2:4" x14ac:dyDescent="0.2">
      <c r="B424" s="37" t="s">
        <v>52</v>
      </c>
      <c r="C424" s="38" t="s">
        <v>48</v>
      </c>
      <c r="D424" s="39">
        <f t="shared" si="6"/>
        <v>140</v>
      </c>
    </row>
    <row r="425" spans="2:4" x14ac:dyDescent="0.2">
      <c r="B425" s="37" t="s">
        <v>63</v>
      </c>
      <c r="C425" s="38" t="s">
        <v>48</v>
      </c>
      <c r="D425" s="39">
        <f t="shared" si="6"/>
        <v>20</v>
      </c>
    </row>
    <row r="426" spans="2:4" x14ac:dyDescent="0.2">
      <c r="B426" s="37" t="s">
        <v>60</v>
      </c>
      <c r="C426" s="38" t="s">
        <v>48</v>
      </c>
      <c r="D426" s="39">
        <f t="shared" si="6"/>
        <v>35</v>
      </c>
    </row>
    <row r="427" spans="2:4" x14ac:dyDescent="0.2">
      <c r="B427" s="37" t="s">
        <v>60</v>
      </c>
      <c r="C427" s="38" t="s">
        <v>48</v>
      </c>
      <c r="D427" s="39">
        <f t="shared" si="6"/>
        <v>35</v>
      </c>
    </row>
    <row r="428" spans="2:4" x14ac:dyDescent="0.2">
      <c r="B428" s="37" t="s">
        <v>51</v>
      </c>
      <c r="C428" s="38" t="s">
        <v>49</v>
      </c>
      <c r="D428" s="39">
        <f t="shared" si="6"/>
        <v>240</v>
      </c>
    </row>
    <row r="429" spans="2:4" x14ac:dyDescent="0.2">
      <c r="B429" s="37" t="s">
        <v>61</v>
      </c>
      <c r="C429" s="38" t="s">
        <v>48</v>
      </c>
      <c r="D429" s="39">
        <f t="shared" si="6"/>
        <v>25</v>
      </c>
    </row>
    <row r="430" spans="2:4" x14ac:dyDescent="0.2">
      <c r="B430" s="37" t="s">
        <v>52</v>
      </c>
      <c r="C430" s="38" t="s">
        <v>49</v>
      </c>
      <c r="D430" s="39">
        <f t="shared" si="6"/>
        <v>168</v>
      </c>
    </row>
    <row r="431" spans="2:4" x14ac:dyDescent="0.2">
      <c r="B431" s="37" t="s">
        <v>62</v>
      </c>
      <c r="C431" s="38" t="s">
        <v>49</v>
      </c>
      <c r="D431" s="39">
        <f t="shared" si="6"/>
        <v>24</v>
      </c>
    </row>
    <row r="432" spans="2:4" x14ac:dyDescent="0.2">
      <c r="B432" s="37" t="s">
        <v>63</v>
      </c>
      <c r="C432" s="38" t="s">
        <v>49</v>
      </c>
      <c r="D432" s="39">
        <f t="shared" si="6"/>
        <v>24</v>
      </c>
    </row>
    <row r="433" spans="2:4" x14ac:dyDescent="0.2">
      <c r="B433" s="37" t="s">
        <v>62</v>
      </c>
      <c r="C433" s="38" t="s">
        <v>48</v>
      </c>
      <c r="D433" s="39">
        <f t="shared" si="6"/>
        <v>20</v>
      </c>
    </row>
    <row r="434" spans="2:4" x14ac:dyDescent="0.2">
      <c r="B434" s="37" t="s">
        <v>57</v>
      </c>
      <c r="C434" s="38" t="s">
        <v>49</v>
      </c>
      <c r="D434" s="39">
        <f t="shared" si="6"/>
        <v>84</v>
      </c>
    </row>
    <row r="435" spans="2:4" x14ac:dyDescent="0.2">
      <c r="B435" s="37" t="s">
        <v>64</v>
      </c>
      <c r="C435" s="38" t="s">
        <v>48</v>
      </c>
      <c r="D435" s="39">
        <f t="shared" si="6"/>
        <v>5</v>
      </c>
    </row>
    <row r="436" spans="2:4" x14ac:dyDescent="0.2">
      <c r="B436" s="37" t="s">
        <v>54</v>
      </c>
      <c r="C436" s="38" t="s">
        <v>49</v>
      </c>
      <c r="D436" s="39">
        <f t="shared" si="6"/>
        <v>120</v>
      </c>
    </row>
    <row r="437" spans="2:4" x14ac:dyDescent="0.2">
      <c r="B437" s="37" t="s">
        <v>60</v>
      </c>
      <c r="C437" s="38" t="s">
        <v>48</v>
      </c>
      <c r="D437" s="39">
        <f t="shared" si="6"/>
        <v>35</v>
      </c>
    </row>
    <row r="438" spans="2:4" x14ac:dyDescent="0.2">
      <c r="B438" s="37" t="s">
        <v>52</v>
      </c>
      <c r="C438" s="38" t="s">
        <v>48</v>
      </c>
      <c r="D438" s="39">
        <f t="shared" si="6"/>
        <v>140</v>
      </c>
    </row>
    <row r="439" spans="2:4" x14ac:dyDescent="0.2">
      <c r="B439" s="37" t="s">
        <v>59</v>
      </c>
      <c r="C439" s="38" t="s">
        <v>49</v>
      </c>
      <c r="D439" s="39">
        <f t="shared" si="6"/>
        <v>60</v>
      </c>
    </row>
    <row r="440" spans="2:4" x14ac:dyDescent="0.2">
      <c r="B440" s="37" t="s">
        <v>52</v>
      </c>
      <c r="C440" s="38" t="s">
        <v>48</v>
      </c>
      <c r="D440" s="39">
        <f t="shared" si="6"/>
        <v>140</v>
      </c>
    </row>
    <row r="441" spans="2:4" x14ac:dyDescent="0.2">
      <c r="B441" s="37" t="s">
        <v>54</v>
      </c>
      <c r="C441" s="38" t="s">
        <v>49</v>
      </c>
      <c r="D441" s="39">
        <f t="shared" si="6"/>
        <v>120</v>
      </c>
    </row>
    <row r="442" spans="2:4" x14ac:dyDescent="0.2">
      <c r="B442" s="37" t="s">
        <v>56</v>
      </c>
      <c r="C442" s="38" t="s">
        <v>48</v>
      </c>
      <c r="D442" s="39">
        <f t="shared" si="6"/>
        <v>80</v>
      </c>
    </row>
    <row r="443" spans="2:4" x14ac:dyDescent="0.2">
      <c r="B443" s="37" t="s">
        <v>63</v>
      </c>
      <c r="C443" s="38" t="s">
        <v>48</v>
      </c>
      <c r="D443" s="39">
        <f t="shared" si="6"/>
        <v>20</v>
      </c>
    </row>
    <row r="444" spans="2:4" x14ac:dyDescent="0.2">
      <c r="B444" s="37" t="s">
        <v>54</v>
      </c>
      <c r="C444" s="38" t="s">
        <v>49</v>
      </c>
      <c r="D444" s="39">
        <f t="shared" si="6"/>
        <v>120</v>
      </c>
    </row>
    <row r="445" spans="2:4" x14ac:dyDescent="0.2">
      <c r="B445" s="37" t="s">
        <v>56</v>
      </c>
      <c r="C445" s="38" t="s">
        <v>48</v>
      </c>
      <c r="D445" s="39">
        <f t="shared" si="6"/>
        <v>80</v>
      </c>
    </row>
    <row r="446" spans="2:4" x14ac:dyDescent="0.2">
      <c r="B446" s="37" t="s">
        <v>51</v>
      </c>
      <c r="C446" s="38" t="s">
        <v>48</v>
      </c>
      <c r="D446" s="39">
        <f t="shared" si="6"/>
        <v>200</v>
      </c>
    </row>
    <row r="447" spans="2:4" x14ac:dyDescent="0.2">
      <c r="B447" s="37" t="s">
        <v>63</v>
      </c>
      <c r="C447" s="38" t="s">
        <v>48</v>
      </c>
      <c r="D447" s="39">
        <f t="shared" si="6"/>
        <v>20</v>
      </c>
    </row>
    <row r="448" spans="2:4" x14ac:dyDescent="0.2">
      <c r="B448" s="37" t="s">
        <v>63</v>
      </c>
      <c r="C448" s="38" t="s">
        <v>48</v>
      </c>
      <c r="D448" s="39">
        <f t="shared" si="6"/>
        <v>20</v>
      </c>
    </row>
    <row r="449" spans="2:4" x14ac:dyDescent="0.2">
      <c r="B449" s="37" t="s">
        <v>63</v>
      </c>
      <c r="C449" s="38" t="s">
        <v>48</v>
      </c>
      <c r="D449" s="39">
        <f t="shared" si="6"/>
        <v>20</v>
      </c>
    </row>
    <row r="450" spans="2:4" x14ac:dyDescent="0.2">
      <c r="B450" s="37" t="s">
        <v>54</v>
      </c>
      <c r="C450" s="38" t="s">
        <v>49</v>
      </c>
      <c r="D450" s="39">
        <f t="shared" si="6"/>
        <v>120</v>
      </c>
    </row>
    <row r="451" spans="2:4" x14ac:dyDescent="0.2">
      <c r="B451" s="37" t="s">
        <v>61</v>
      </c>
      <c r="C451" s="38" t="s">
        <v>48</v>
      </c>
      <c r="D451" s="39">
        <f t="shared" si="6"/>
        <v>25</v>
      </c>
    </row>
    <row r="452" spans="2:4" x14ac:dyDescent="0.2">
      <c r="B452" s="37" t="s">
        <v>62</v>
      </c>
      <c r="C452" s="38" t="s">
        <v>48</v>
      </c>
      <c r="D452" s="39">
        <f t="shared" si="6"/>
        <v>20</v>
      </c>
    </row>
    <row r="453" spans="2:4" x14ac:dyDescent="0.2">
      <c r="B453" s="37" t="s">
        <v>52</v>
      </c>
      <c r="C453" s="38" t="s">
        <v>49</v>
      </c>
      <c r="D453" s="39">
        <f t="shared" si="6"/>
        <v>168</v>
      </c>
    </row>
    <row r="454" spans="2:4" x14ac:dyDescent="0.2">
      <c r="B454" s="37" t="s">
        <v>56</v>
      </c>
      <c r="C454" s="38" t="s">
        <v>48</v>
      </c>
      <c r="D454" s="39">
        <f t="shared" si="6"/>
        <v>80</v>
      </c>
    </row>
    <row r="455" spans="2:4" x14ac:dyDescent="0.2">
      <c r="B455" s="37" t="s">
        <v>60</v>
      </c>
      <c r="C455" s="38" t="s">
        <v>49</v>
      </c>
      <c r="D455" s="39">
        <f t="shared" si="6"/>
        <v>42</v>
      </c>
    </row>
    <row r="456" spans="2:4" x14ac:dyDescent="0.2">
      <c r="B456" s="37" t="s">
        <v>60</v>
      </c>
      <c r="C456" s="38" t="s">
        <v>48</v>
      </c>
      <c r="D456" s="39">
        <f t="shared" ref="D456:D506" si="7">WarrantyPrice(B456,C456)</f>
        <v>35</v>
      </c>
    </row>
    <row r="457" spans="2:4" x14ac:dyDescent="0.2">
      <c r="B457" s="37" t="s">
        <v>57</v>
      </c>
      <c r="C457" s="38" t="s">
        <v>48</v>
      </c>
      <c r="D457" s="39">
        <f t="shared" si="7"/>
        <v>70</v>
      </c>
    </row>
    <row r="458" spans="2:4" x14ac:dyDescent="0.2">
      <c r="B458" s="37" t="s">
        <v>61</v>
      </c>
      <c r="C458" s="38" t="s">
        <v>49</v>
      </c>
      <c r="D458" s="39">
        <f t="shared" si="7"/>
        <v>30</v>
      </c>
    </row>
    <row r="459" spans="2:4" x14ac:dyDescent="0.2">
      <c r="B459" s="37" t="s">
        <v>60</v>
      </c>
      <c r="C459" s="38" t="s">
        <v>49</v>
      </c>
      <c r="D459" s="39">
        <f t="shared" si="7"/>
        <v>42</v>
      </c>
    </row>
    <row r="460" spans="2:4" x14ac:dyDescent="0.2">
      <c r="B460" s="37" t="s">
        <v>62</v>
      </c>
      <c r="C460" s="38" t="s">
        <v>49</v>
      </c>
      <c r="D460" s="39">
        <f t="shared" si="7"/>
        <v>24</v>
      </c>
    </row>
    <row r="461" spans="2:4" x14ac:dyDescent="0.2">
      <c r="B461" s="37" t="s">
        <v>60</v>
      </c>
      <c r="C461" s="38" t="s">
        <v>48</v>
      </c>
      <c r="D461" s="39">
        <f t="shared" si="7"/>
        <v>35</v>
      </c>
    </row>
    <row r="462" spans="2:4" x14ac:dyDescent="0.2">
      <c r="B462" s="37" t="s">
        <v>61</v>
      </c>
      <c r="C462" s="38" t="s">
        <v>49</v>
      </c>
      <c r="D462" s="39">
        <f t="shared" si="7"/>
        <v>30</v>
      </c>
    </row>
    <row r="463" spans="2:4" x14ac:dyDescent="0.2">
      <c r="B463" s="37" t="s">
        <v>61</v>
      </c>
      <c r="C463" s="38" t="s">
        <v>48</v>
      </c>
      <c r="D463" s="39">
        <f t="shared" si="7"/>
        <v>25</v>
      </c>
    </row>
    <row r="464" spans="2:4" x14ac:dyDescent="0.2">
      <c r="B464" s="37" t="s">
        <v>61</v>
      </c>
      <c r="C464" s="38" t="s">
        <v>48</v>
      </c>
      <c r="D464" s="39">
        <f t="shared" si="7"/>
        <v>25</v>
      </c>
    </row>
    <row r="465" spans="2:4" x14ac:dyDescent="0.2">
      <c r="B465" s="37" t="s">
        <v>58</v>
      </c>
      <c r="C465" s="38" t="s">
        <v>49</v>
      </c>
      <c r="D465" s="39">
        <f t="shared" si="7"/>
        <v>72</v>
      </c>
    </row>
    <row r="466" spans="2:4" x14ac:dyDescent="0.2">
      <c r="B466" s="37" t="s">
        <v>64</v>
      </c>
      <c r="C466" s="38" t="s">
        <v>48</v>
      </c>
      <c r="D466" s="39">
        <f t="shared" si="7"/>
        <v>5</v>
      </c>
    </row>
    <row r="467" spans="2:4" x14ac:dyDescent="0.2">
      <c r="B467" s="37" t="s">
        <v>63</v>
      </c>
      <c r="C467" s="38" t="s">
        <v>48</v>
      </c>
      <c r="D467" s="39">
        <f t="shared" si="7"/>
        <v>20</v>
      </c>
    </row>
    <row r="468" spans="2:4" x14ac:dyDescent="0.2">
      <c r="B468" s="37" t="s">
        <v>61</v>
      </c>
      <c r="C468" s="38" t="s">
        <v>49</v>
      </c>
      <c r="D468" s="39">
        <f t="shared" si="7"/>
        <v>30</v>
      </c>
    </row>
    <row r="469" spans="2:4" x14ac:dyDescent="0.2">
      <c r="B469" s="37" t="s">
        <v>60</v>
      </c>
      <c r="C469" s="38" t="s">
        <v>49</v>
      </c>
      <c r="D469" s="39">
        <f t="shared" si="7"/>
        <v>42</v>
      </c>
    </row>
    <row r="470" spans="2:4" x14ac:dyDescent="0.2">
      <c r="B470" s="37" t="s">
        <v>54</v>
      </c>
      <c r="C470" s="38" t="s">
        <v>49</v>
      </c>
      <c r="D470" s="39">
        <f t="shared" si="7"/>
        <v>120</v>
      </c>
    </row>
    <row r="471" spans="2:4" x14ac:dyDescent="0.2">
      <c r="B471" s="37" t="s">
        <v>63</v>
      </c>
      <c r="C471" s="38" t="s">
        <v>48</v>
      </c>
      <c r="D471" s="39">
        <f t="shared" si="7"/>
        <v>20</v>
      </c>
    </row>
    <row r="472" spans="2:4" x14ac:dyDescent="0.2">
      <c r="B472" s="37" t="s">
        <v>54</v>
      </c>
      <c r="C472" s="38" t="s">
        <v>49</v>
      </c>
      <c r="D472" s="39">
        <f t="shared" si="7"/>
        <v>120</v>
      </c>
    </row>
    <row r="473" spans="2:4" x14ac:dyDescent="0.2">
      <c r="B473" s="37" t="s">
        <v>62</v>
      </c>
      <c r="C473" s="38" t="s">
        <v>49</v>
      </c>
      <c r="D473" s="39">
        <f t="shared" si="7"/>
        <v>24</v>
      </c>
    </row>
    <row r="474" spans="2:4" x14ac:dyDescent="0.2">
      <c r="B474" s="37" t="s">
        <v>57</v>
      </c>
      <c r="C474" s="38" t="s">
        <v>48</v>
      </c>
      <c r="D474" s="39">
        <f t="shared" si="7"/>
        <v>70</v>
      </c>
    </row>
    <row r="475" spans="2:4" x14ac:dyDescent="0.2">
      <c r="B475" s="37" t="s">
        <v>56</v>
      </c>
      <c r="C475" s="38" t="s">
        <v>48</v>
      </c>
      <c r="D475" s="39">
        <f t="shared" si="7"/>
        <v>80</v>
      </c>
    </row>
    <row r="476" spans="2:4" x14ac:dyDescent="0.2">
      <c r="B476" s="37" t="s">
        <v>63</v>
      </c>
      <c r="C476" s="38" t="s">
        <v>48</v>
      </c>
      <c r="D476" s="39">
        <f t="shared" si="7"/>
        <v>20</v>
      </c>
    </row>
    <row r="477" spans="2:4" x14ac:dyDescent="0.2">
      <c r="B477" s="37" t="s">
        <v>62</v>
      </c>
      <c r="C477" s="38" t="s">
        <v>49</v>
      </c>
      <c r="D477" s="39">
        <f t="shared" si="7"/>
        <v>24</v>
      </c>
    </row>
    <row r="478" spans="2:4" x14ac:dyDescent="0.2">
      <c r="B478" s="37" t="s">
        <v>63</v>
      </c>
      <c r="C478" s="38" t="s">
        <v>48</v>
      </c>
      <c r="D478" s="39">
        <f t="shared" si="7"/>
        <v>20</v>
      </c>
    </row>
    <row r="479" spans="2:4" x14ac:dyDescent="0.2">
      <c r="B479" s="37" t="s">
        <v>51</v>
      </c>
      <c r="C479" s="38" t="s">
        <v>48</v>
      </c>
      <c r="D479" s="39">
        <f t="shared" si="7"/>
        <v>200</v>
      </c>
    </row>
    <row r="480" spans="2:4" x14ac:dyDescent="0.2">
      <c r="B480" s="37" t="s">
        <v>57</v>
      </c>
      <c r="C480" s="38" t="s">
        <v>48</v>
      </c>
      <c r="D480" s="39">
        <f t="shared" si="7"/>
        <v>70</v>
      </c>
    </row>
    <row r="481" spans="2:4" x14ac:dyDescent="0.2">
      <c r="B481" s="37" t="s">
        <v>61</v>
      </c>
      <c r="C481" s="38" t="s">
        <v>48</v>
      </c>
      <c r="D481" s="39">
        <f t="shared" si="7"/>
        <v>25</v>
      </c>
    </row>
    <row r="482" spans="2:4" x14ac:dyDescent="0.2">
      <c r="B482" s="37" t="s">
        <v>63</v>
      </c>
      <c r="C482" s="38" t="s">
        <v>49</v>
      </c>
      <c r="D482" s="39">
        <f t="shared" si="7"/>
        <v>24</v>
      </c>
    </row>
    <row r="483" spans="2:4" x14ac:dyDescent="0.2">
      <c r="B483" s="37" t="s">
        <v>63</v>
      </c>
      <c r="C483" s="38" t="s">
        <v>48</v>
      </c>
      <c r="D483" s="39">
        <f t="shared" si="7"/>
        <v>20</v>
      </c>
    </row>
    <row r="484" spans="2:4" x14ac:dyDescent="0.2">
      <c r="B484" s="37" t="s">
        <v>60</v>
      </c>
      <c r="C484" s="38" t="s">
        <v>49</v>
      </c>
      <c r="D484" s="39">
        <f t="shared" si="7"/>
        <v>42</v>
      </c>
    </row>
    <row r="485" spans="2:4" x14ac:dyDescent="0.2">
      <c r="B485" s="37" t="s">
        <v>57</v>
      </c>
      <c r="C485" s="38" t="s">
        <v>48</v>
      </c>
      <c r="D485" s="39">
        <f t="shared" si="7"/>
        <v>70</v>
      </c>
    </row>
    <row r="486" spans="2:4" x14ac:dyDescent="0.2">
      <c r="B486" s="37" t="s">
        <v>55</v>
      </c>
      <c r="C486" s="38" t="s">
        <v>49</v>
      </c>
      <c r="D486" s="39">
        <f t="shared" si="7"/>
        <v>120</v>
      </c>
    </row>
    <row r="487" spans="2:4" x14ac:dyDescent="0.2">
      <c r="B487" s="37" t="s">
        <v>60</v>
      </c>
      <c r="C487" s="38" t="s">
        <v>49</v>
      </c>
      <c r="D487" s="39">
        <f t="shared" si="7"/>
        <v>42</v>
      </c>
    </row>
    <row r="488" spans="2:4" x14ac:dyDescent="0.2">
      <c r="B488" s="37" t="s">
        <v>60</v>
      </c>
      <c r="C488" s="38" t="s">
        <v>49</v>
      </c>
      <c r="D488" s="39">
        <f t="shared" si="7"/>
        <v>42</v>
      </c>
    </row>
    <row r="489" spans="2:4" x14ac:dyDescent="0.2">
      <c r="B489" s="37" t="s">
        <v>63</v>
      </c>
      <c r="C489" s="38" t="s">
        <v>49</v>
      </c>
      <c r="D489" s="39">
        <f t="shared" si="7"/>
        <v>24</v>
      </c>
    </row>
    <row r="490" spans="2:4" x14ac:dyDescent="0.2">
      <c r="B490" s="37" t="s">
        <v>54</v>
      </c>
      <c r="C490" s="38" t="s">
        <v>49</v>
      </c>
      <c r="D490" s="39">
        <f t="shared" si="7"/>
        <v>120</v>
      </c>
    </row>
    <row r="491" spans="2:4" x14ac:dyDescent="0.2">
      <c r="B491" s="37" t="s">
        <v>60</v>
      </c>
      <c r="C491" s="38" t="s">
        <v>49</v>
      </c>
      <c r="D491" s="39">
        <f t="shared" si="7"/>
        <v>42</v>
      </c>
    </row>
    <row r="492" spans="2:4" x14ac:dyDescent="0.2">
      <c r="B492" s="37" t="s">
        <v>60</v>
      </c>
      <c r="C492" s="38" t="s">
        <v>49</v>
      </c>
      <c r="D492" s="39">
        <f t="shared" si="7"/>
        <v>42</v>
      </c>
    </row>
    <row r="493" spans="2:4" x14ac:dyDescent="0.2">
      <c r="B493" s="37" t="s">
        <v>54</v>
      </c>
      <c r="C493" s="38" t="s">
        <v>49</v>
      </c>
      <c r="D493" s="39">
        <f t="shared" si="7"/>
        <v>120</v>
      </c>
    </row>
    <row r="494" spans="2:4" x14ac:dyDescent="0.2">
      <c r="B494" s="37" t="s">
        <v>62</v>
      </c>
      <c r="C494" s="38" t="s">
        <v>48</v>
      </c>
      <c r="D494" s="39">
        <f t="shared" si="7"/>
        <v>20</v>
      </c>
    </row>
    <row r="495" spans="2:4" x14ac:dyDescent="0.2">
      <c r="B495" s="37" t="s">
        <v>63</v>
      </c>
      <c r="C495" s="38" t="s">
        <v>48</v>
      </c>
      <c r="D495" s="39">
        <f t="shared" si="7"/>
        <v>20</v>
      </c>
    </row>
    <row r="496" spans="2:4" x14ac:dyDescent="0.2">
      <c r="B496" s="37" t="s">
        <v>60</v>
      </c>
      <c r="C496" s="38" t="s">
        <v>49</v>
      </c>
      <c r="D496" s="39">
        <f t="shared" si="7"/>
        <v>42</v>
      </c>
    </row>
    <row r="497" spans="2:4" x14ac:dyDescent="0.2">
      <c r="B497" s="37" t="s">
        <v>62</v>
      </c>
      <c r="C497" s="38" t="s">
        <v>48</v>
      </c>
      <c r="D497" s="39">
        <f t="shared" si="7"/>
        <v>20</v>
      </c>
    </row>
    <row r="498" spans="2:4" x14ac:dyDescent="0.2">
      <c r="B498" s="37" t="s">
        <v>56</v>
      </c>
      <c r="C498" s="38" t="s">
        <v>48</v>
      </c>
      <c r="D498" s="39">
        <f t="shared" si="7"/>
        <v>80</v>
      </c>
    </row>
    <row r="499" spans="2:4" x14ac:dyDescent="0.2">
      <c r="B499" s="37" t="s">
        <v>61</v>
      </c>
      <c r="C499" s="38" t="s">
        <v>49</v>
      </c>
      <c r="D499" s="39">
        <f t="shared" si="7"/>
        <v>30</v>
      </c>
    </row>
    <row r="500" spans="2:4" x14ac:dyDescent="0.2">
      <c r="B500" s="37" t="s">
        <v>54</v>
      </c>
      <c r="C500" s="38" t="s">
        <v>48</v>
      </c>
      <c r="D500" s="39">
        <f t="shared" si="7"/>
        <v>100</v>
      </c>
    </row>
    <row r="501" spans="2:4" x14ac:dyDescent="0.2">
      <c r="B501" s="37" t="s">
        <v>54</v>
      </c>
      <c r="C501" s="38" t="s">
        <v>48</v>
      </c>
      <c r="D501" s="39">
        <f t="shared" si="7"/>
        <v>100</v>
      </c>
    </row>
    <row r="502" spans="2:4" x14ac:dyDescent="0.2">
      <c r="B502" s="37" t="s">
        <v>60</v>
      </c>
      <c r="C502" s="38" t="s">
        <v>48</v>
      </c>
      <c r="D502" s="39">
        <f t="shared" si="7"/>
        <v>35</v>
      </c>
    </row>
    <row r="503" spans="2:4" x14ac:dyDescent="0.2">
      <c r="B503" s="37" t="s">
        <v>63</v>
      </c>
      <c r="C503" s="38" t="s">
        <v>49</v>
      </c>
      <c r="D503" s="39">
        <f t="shared" si="7"/>
        <v>24</v>
      </c>
    </row>
    <row r="504" spans="2:4" x14ac:dyDescent="0.2">
      <c r="B504" s="37" t="s">
        <v>63</v>
      </c>
      <c r="C504" s="38" t="s">
        <v>48</v>
      </c>
      <c r="D504" s="39">
        <f t="shared" si="7"/>
        <v>20</v>
      </c>
    </row>
    <row r="505" spans="2:4" x14ac:dyDescent="0.2">
      <c r="B505" s="37" t="s">
        <v>54</v>
      </c>
      <c r="C505" s="38" t="s">
        <v>48</v>
      </c>
      <c r="D505" s="39">
        <f t="shared" si="7"/>
        <v>100</v>
      </c>
    </row>
    <row r="506" spans="2:4" x14ac:dyDescent="0.2">
      <c r="B506" s="41" t="s">
        <v>53</v>
      </c>
      <c r="C506" s="28" t="s">
        <v>49</v>
      </c>
      <c r="D506" s="39">
        <f t="shared" si="7"/>
        <v>120</v>
      </c>
    </row>
  </sheetData>
  <sortState xmlns:xlrd2="http://schemas.microsoft.com/office/spreadsheetml/2017/richdata2" ref="K4:M17">
    <sortCondition ref="K4:K17"/>
  </sortState>
  <mergeCells count="2">
    <mergeCell ref="K1:M1"/>
    <mergeCell ref="L2:M2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9"/>
  <dimension ref="A2:C20"/>
  <sheetViews>
    <sheetView showGridLines="0" tabSelected="1" workbookViewId="0">
      <selection activeCell="I24" sqref="I24"/>
    </sheetView>
  </sheetViews>
  <sheetFormatPr baseColWidth="10" defaultColWidth="8.83203125" defaultRowHeight="15" x14ac:dyDescent="0.2"/>
  <cols>
    <col min="1" max="1" width="12.33203125" bestFit="1" customWidth="1"/>
  </cols>
  <sheetData>
    <row r="2" spans="1:3" x14ac:dyDescent="0.2">
      <c r="B2" s="61" t="s">
        <v>76</v>
      </c>
      <c r="C2" s="62"/>
    </row>
    <row r="3" spans="1:3" x14ac:dyDescent="0.2">
      <c r="A3" s="48" t="s">
        <v>65</v>
      </c>
      <c r="B3" s="49" t="s">
        <v>48</v>
      </c>
      <c r="C3" s="49" t="s">
        <v>49</v>
      </c>
    </row>
    <row r="4" spans="1:3" x14ac:dyDescent="0.2">
      <c r="A4" s="11" t="s">
        <v>57</v>
      </c>
      <c r="B4" s="50">
        <v>67</v>
      </c>
      <c r="C4" s="50">
        <v>4</v>
      </c>
    </row>
    <row r="5" spans="1:3" x14ac:dyDescent="0.2">
      <c r="A5" s="11" t="s">
        <v>56</v>
      </c>
      <c r="B5" s="50">
        <v>45</v>
      </c>
      <c r="C5" s="50">
        <v>1</v>
      </c>
    </row>
    <row r="6" spans="1:3" x14ac:dyDescent="0.2">
      <c r="A6" s="11" t="s">
        <v>53</v>
      </c>
      <c r="B6" s="50">
        <v>56</v>
      </c>
      <c r="C6" s="50">
        <v>78</v>
      </c>
    </row>
    <row r="7" spans="1:3" x14ac:dyDescent="0.2">
      <c r="A7" s="11" t="s">
        <v>62</v>
      </c>
      <c r="B7" s="50">
        <v>52</v>
      </c>
      <c r="C7" s="50">
        <v>5</v>
      </c>
    </row>
    <row r="8" spans="1:3" x14ac:dyDescent="0.2">
      <c r="A8" s="11" t="s">
        <v>64</v>
      </c>
      <c r="B8" s="50">
        <v>31</v>
      </c>
      <c r="C8" s="50">
        <v>44</v>
      </c>
    </row>
    <row r="9" spans="1:3" x14ac:dyDescent="0.2">
      <c r="A9" s="11" t="s">
        <v>58</v>
      </c>
      <c r="B9" s="50">
        <v>40</v>
      </c>
      <c r="C9" s="50">
        <v>53</v>
      </c>
    </row>
    <row r="10" spans="1:3" x14ac:dyDescent="0.2">
      <c r="A10" s="11" t="s">
        <v>54</v>
      </c>
      <c r="B10" s="50">
        <v>16</v>
      </c>
      <c r="C10" s="50">
        <v>2</v>
      </c>
    </row>
    <row r="11" spans="1:3" x14ac:dyDescent="0.2">
      <c r="A11" s="11" t="s">
        <v>63</v>
      </c>
      <c r="B11" s="50">
        <v>47</v>
      </c>
      <c r="C11" s="50">
        <v>4</v>
      </c>
    </row>
    <row r="12" spans="1:3" x14ac:dyDescent="0.2">
      <c r="A12" s="11" t="s">
        <v>60</v>
      </c>
      <c r="B12" s="50">
        <v>38</v>
      </c>
      <c r="C12" s="50">
        <v>30</v>
      </c>
    </row>
    <row r="13" spans="1:3" x14ac:dyDescent="0.2">
      <c r="A13" s="11" t="s">
        <v>51</v>
      </c>
      <c r="B13" s="50">
        <v>18</v>
      </c>
      <c r="C13" s="50">
        <v>46</v>
      </c>
    </row>
    <row r="14" spans="1:3" x14ac:dyDescent="0.2">
      <c r="A14" s="11" t="s">
        <v>59</v>
      </c>
      <c r="B14" s="50">
        <v>45</v>
      </c>
      <c r="C14" s="50">
        <v>57</v>
      </c>
    </row>
    <row r="15" spans="1:3" x14ac:dyDescent="0.2">
      <c r="A15" s="11" t="s">
        <v>61</v>
      </c>
      <c r="B15" s="50">
        <v>33</v>
      </c>
      <c r="C15" s="50">
        <v>58</v>
      </c>
    </row>
    <row r="16" spans="1:3" x14ac:dyDescent="0.2">
      <c r="A16" s="11" t="s">
        <v>52</v>
      </c>
      <c r="B16" s="50">
        <v>16</v>
      </c>
      <c r="C16" s="50">
        <v>68</v>
      </c>
    </row>
    <row r="17" spans="1:3" x14ac:dyDescent="0.2">
      <c r="A17" s="11" t="s">
        <v>55</v>
      </c>
      <c r="B17" s="50">
        <v>35</v>
      </c>
      <c r="C17" s="50">
        <v>75</v>
      </c>
    </row>
    <row r="19" spans="1:3" x14ac:dyDescent="0.2">
      <c r="A19" t="s">
        <v>77</v>
      </c>
      <c r="C19" s="51"/>
    </row>
    <row r="20" spans="1:3" x14ac:dyDescent="0.2">
      <c r="B20" s="59">
        <v>85982</v>
      </c>
      <c r="C20" s="60"/>
    </row>
  </sheetData>
  <mergeCells count="2">
    <mergeCell ref="B20:C20"/>
    <mergeCell ref="B2:C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9" r:id="rId3" name="Button 3">
              <controlPr defaultSize="0" print="0" autoFill="0" autoPict="0" macro="[0]!Checkout">
                <anchor moveWithCells="1" sizeWithCells="1">
                  <from>
                    <xdr:col>6</xdr:col>
                    <xdr:colOff>101600</xdr:colOff>
                    <xdr:row>18</xdr:row>
                    <xdr:rowOff>38100</xdr:rowOff>
                  </from>
                  <to>
                    <xdr:col>8</xdr:col>
                    <xdr:colOff>279400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Logo</vt:lpstr>
      <vt:lpstr>Summary</vt:lpstr>
      <vt:lpstr>Region1</vt:lpstr>
      <vt:lpstr>Region2</vt:lpstr>
      <vt:lpstr>Region3</vt:lpstr>
      <vt:lpstr>Region4</vt:lpstr>
      <vt:lpstr>Region5</vt:lpstr>
      <vt:lpstr>Region6</vt:lpstr>
      <vt:lpstr>Region7</vt:lpstr>
      <vt:lpstr>Region8</vt:lpstr>
      <vt:lpstr>Region9</vt:lpstr>
      <vt:lpstr>Region10</vt:lpstr>
      <vt:lpstr>Region11</vt:lpstr>
      <vt:lpstr>Region12</vt:lpstr>
      <vt:lpstr>Region13</vt:lpstr>
      <vt:lpstr>Region14</vt:lpstr>
      <vt:lpstr>Region15</vt:lpstr>
      <vt:lpstr>Region16</vt:lpstr>
      <vt:lpstr>Region17</vt:lpstr>
      <vt:lpstr>Region18</vt:lpstr>
      <vt:lpstr>Region19</vt:lpstr>
      <vt:lpstr>Region20</vt:lpstr>
      <vt:lpstr>Distribution</vt:lpstr>
      <vt:lpstr>Warranty Sales - Function</vt:lpstr>
      <vt:lpstr>Checkout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Actuwaiers</dc:creator>
  <cp:lastModifiedBy>Jimmy A. Creznic</cp:lastModifiedBy>
  <dcterms:created xsi:type="dcterms:W3CDTF">2013-02-23T06:28:21Z</dcterms:created>
  <dcterms:modified xsi:type="dcterms:W3CDTF">2020-04-10T23:43:17Z</dcterms:modified>
</cp:coreProperties>
</file>